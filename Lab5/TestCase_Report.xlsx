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5\"/>
    </mc:Choice>
  </mc:AlternateContent>
  <xr:revisionPtr revIDLastSave="0" documentId="13_ncr:1_{BD6FEFBB-2ED2-4F4F-ACB2-3D5B027801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Test Report" sheetId="2" r:id="rId2"/>
    <sheet name="Test case List" sheetId="3" r:id="rId3"/>
    <sheet name="LAB5_BAI1" sheetId="4" r:id="rId4"/>
    <sheet name="LAB5_BAI2" sheetId="5" r:id="rId5"/>
    <sheet name="LAB5_BAI3" sheetId="6" r:id="rId6"/>
    <sheet name="LAB5_BAI4" sheetId="7" r:id="rId7"/>
    <sheet name="LAB5_BAI5" sheetId="8" r:id="rId8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4" l="1"/>
  <c r="L18" i="4"/>
  <c r="A18" i="4"/>
  <c r="L17" i="4"/>
  <c r="A17" i="4"/>
  <c r="A10" i="4"/>
  <c r="C5" i="2"/>
  <c r="C6" i="1"/>
  <c r="K10" i="8"/>
  <c r="A10" i="8"/>
  <c r="K9" i="8"/>
  <c r="A9" i="8"/>
  <c r="F5" i="8" s="1"/>
  <c r="E5" i="8"/>
  <c r="C5" i="8"/>
  <c r="B5" i="8"/>
  <c r="A5" i="8"/>
  <c r="K10" i="7"/>
  <c r="A10" i="7"/>
  <c r="F6" i="7" s="1"/>
  <c r="E6" i="7"/>
  <c r="C6" i="7"/>
  <c r="B6" i="7"/>
  <c r="A6" i="7"/>
  <c r="L15" i="6"/>
  <c r="A6" i="6" s="1"/>
  <c r="I13" i="2" s="1"/>
  <c r="A15" i="6"/>
  <c r="L14" i="6"/>
  <c r="A14" i="6"/>
  <c r="L13" i="6"/>
  <c r="A13" i="6"/>
  <c r="L12" i="6"/>
  <c r="A12" i="6"/>
  <c r="L11" i="6"/>
  <c r="A11" i="6"/>
  <c r="L10" i="6"/>
  <c r="A10" i="6"/>
  <c r="F6" i="6"/>
  <c r="G13" i="2" s="1"/>
  <c r="C6" i="6"/>
  <c r="E13" i="2" s="1"/>
  <c r="B6" i="6"/>
  <c r="D13" i="2" s="1"/>
  <c r="L13" i="5"/>
  <c r="A13" i="5"/>
  <c r="L12" i="5"/>
  <c r="A6" i="5" s="1"/>
  <c r="I12" i="2" s="1"/>
  <c r="A12" i="5"/>
  <c r="L11" i="5"/>
  <c r="A11" i="5"/>
  <c r="L10" i="5"/>
  <c r="A10" i="5"/>
  <c r="F6" i="5"/>
  <c r="G12" i="2" s="1"/>
  <c r="C6" i="5"/>
  <c r="E12" i="2" s="1"/>
  <c r="B6" i="5"/>
  <c r="D12" i="2" s="1"/>
  <c r="L16" i="4"/>
  <c r="A16" i="4"/>
  <c r="L15" i="4"/>
  <c r="A15" i="4"/>
  <c r="L14" i="4"/>
  <c r="A14" i="4"/>
  <c r="L13" i="4"/>
  <c r="A13" i="4"/>
  <c r="A12" i="4"/>
  <c r="L11" i="4"/>
  <c r="A11" i="4"/>
  <c r="F6" i="4"/>
  <c r="G11" i="2" s="1"/>
  <c r="C6" i="4"/>
  <c r="E11" i="2" s="1"/>
  <c r="B6" i="4"/>
  <c r="D11" i="2" s="1"/>
  <c r="D4" i="3"/>
  <c r="D3" i="3"/>
  <c r="I14" i="2"/>
  <c r="G14" i="2"/>
  <c r="E14" i="2"/>
  <c r="D14" i="2"/>
  <c r="C14" i="2"/>
  <c r="C13" i="2"/>
  <c r="C12" i="2"/>
  <c r="C11" i="2"/>
  <c r="G28" i="2" l="1"/>
  <c r="E28" i="2"/>
  <c r="G6" i="5"/>
  <c r="H12" i="2" s="1"/>
  <c r="A6" i="4"/>
  <c r="I11" i="2" s="1"/>
  <c r="I28" i="2" s="1"/>
  <c r="E32" i="2" s="1"/>
  <c r="G6" i="4"/>
  <c r="H11" i="2" s="1"/>
  <c r="G6" i="6"/>
  <c r="H13" i="2" s="1"/>
  <c r="D5" i="8"/>
  <c r="D28" i="2"/>
  <c r="H14" i="2"/>
  <c r="D6" i="7"/>
  <c r="F14" i="2" s="1"/>
  <c r="E6" i="6" l="1"/>
  <c r="F13" i="2" s="1"/>
  <c r="E6" i="5"/>
  <c r="F12" i="2" s="1"/>
  <c r="E6" i="4"/>
  <c r="F11" i="2" s="1"/>
  <c r="H28" i="2"/>
  <c r="E30" i="2" s="1"/>
  <c r="F28" i="2" l="1"/>
  <c r="E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" authorId="0" shapeId="0" xr:uid="{00000000-0006-0000-0200-000001000000}">
      <text>
        <r>
          <rPr>
            <sz val="11"/>
            <color rgb="FF000000"/>
            <rFont val="MS PGothic"/>
            <scheme val="minor"/>
          </rPr>
          <t>@phucnmse130435@fpt.edu.vn làm thêm 4 case này ông nha 4 case trong đó ít trường hợp thôi
OrganizationManager_ManageDonationDocuments
Admin_OrganizationAdministrate
Admin_ProjectAdministrate
Admin_CampaignAdministrate
_Assigned to Nguyen Minh Phuc (K13_HCM)_
	-Ta Minh Chanh Duc (K13_HCM)</t>
        </r>
      </text>
    </comment>
  </commentList>
</comments>
</file>

<file path=xl/sharedStrings.xml><?xml version="1.0" encoding="utf-8"?>
<sst xmlns="http://schemas.openxmlformats.org/spreadsheetml/2006/main" count="376" uniqueCount="166">
  <si>
    <t>SYSTEM 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</si>
  <si>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</si>
  <si>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</si>
  <si>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</si>
  <si>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</si>
  <si>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</si>
  <si>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</si>
  <si>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</si>
  <si>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</si>
  <si>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</si>
  <si>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</si>
  <si>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</si>
  <si>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</si>
  <si>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</si>
  <si>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</si>
  <si>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New document</t>
  </si>
  <si>
    <t>A</t>
  </si>
  <si>
    <t>Create test document</t>
  </si>
  <si>
    <t>N/A</t>
  </si>
  <si>
    <t>TEST REPORT</t>
  </si>
  <si>
    <t>Notes</t>
  </si>
  <si>
    <t>Including 15 functions test</t>
  </si>
  <si>
    <t>No</t>
  </si>
  <si>
    <t>Module code</t>
  </si>
  <si>
    <t>Pass</t>
  </si>
  <si>
    <t>Fail</t>
  </si>
  <si>
    <t>Untested</t>
  </si>
  <si>
    <t>Number of  test cases</t>
  </si>
  <si>
    <t>% Passed of tests</t>
  </si>
  <si>
    <t>Sub total</t>
  </si>
  <si>
    <t>Test coverage</t>
  </si>
  <si>
    <t>%</t>
  </si>
  <si>
    <t>Test successful coverage</t>
  </si>
  <si>
    <t>Test passed percentage</t>
  </si>
  <si>
    <t>TEST CASE LIST</t>
  </si>
  <si>
    <t>Test Environment Setup Description</t>
  </si>
  <si>
    <t>Function Name</t>
  </si>
  <si>
    <t>Sheet Name</t>
  </si>
  <si>
    <t>Description</t>
  </si>
  <si>
    <t>Pre-Condition</t>
  </si>
  <si>
    <t>Admin_UserManagement</t>
  </si>
  <si>
    <t>Module Code</t>
  </si>
  <si>
    <t>Test requirement</t>
  </si>
  <si>
    <t>Reference Document</t>
  </si>
  <si>
    <t>Untesed</t>
  </si>
  <si>
    <t>Number of Test cases</t>
  </si>
  <si>
    <t>ID</t>
  </si>
  <si>
    <t>Test Case Description</t>
  </si>
  <si>
    <t>Test Case Procedure</t>
  </si>
  <si>
    <t>Expected Results</t>
  </si>
  <si>
    <t>Inter-test case Dependence</t>
  </si>
  <si>
    <t>Result</t>
  </si>
  <si>
    <t>Test date</t>
  </si>
  <si>
    <t>Tester</t>
  </si>
  <si>
    <t>Number of tests</t>
  </si>
  <si>
    <t>Passed</t>
  </si>
  <si>
    <t>% Passed</t>
  </si>
  <si>
    <t>Note</t>
  </si>
  <si>
    <t>DucTMC</t>
  </si>
  <si>
    <t>Search Organization, Project, Campaign</t>
  </si>
  <si>
    <t>1. Click "Tìm kiếm" bar.
2. Enter value
3. Press "Enter" button on keyboard.</t>
  </si>
  <si>
    <t>- Application display a list of organizations, projects, campaigns matches the value entered by the user.</t>
  </si>
  <si>
    <t>Load users list</t>
  </si>
  <si>
    <t>1. User selects the "Quản lý người dùng" tab on Conneto Management System</t>
  </si>
  <si>
    <t>All user using the system is being shown</t>
  </si>
  <si>
    <t>PhucNM</t>
  </si>
  <si>
    <t>Disable user</t>
  </si>
  <si>
    <t xml:space="preserve">1. User selects the "Quản lý người dùng" tab on Conneto Management System
2.Select the organization want to disable
3.Click button "Vô hiệu hóa"
4.Input the reason for the disable </t>
  </si>
  <si>
    <t>All user using the system is being shown
User chosen is disable</t>
  </si>
  <si>
    <t>LAB5</t>
  </si>
  <si>
    <t>Nguyen Tien Dat</t>
  </si>
  <si>
    <t>27/01/2026</t>
  </si>
  <si>
    <t>LAB5_BAI1</t>
  </si>
  <si>
    <t>LAB5_BAI2</t>
  </si>
  <si>
    <t>LAB5_BAI3</t>
  </si>
  <si>
    <t>LAB5_BAI4</t>
  </si>
  <si>
    <t>1. SQLServer
2. JavaJUnit</t>
  </si>
  <si>
    <t>Fixture khởi tạo: calls ban đầu = 0</t>
  </si>
  <si>
    <t>1. Tạo đối tượng MathFunc bằng fixture @Before
2. Gọi getCalls()</t>
  </si>
  <si>
    <t>Xác nhận fixture tạo object mới mỗi test</t>
  </si>
  <si>
    <t>Trả về 0</t>
  </si>
  <si>
    <t>Kết quả = 1</t>
  </si>
  <si>
    <t>factorial(0) trả về 1</t>
  </si>
  <si>
    <t>1. math.factorial(0)</t>
  </si>
  <si>
    <t>Biên dưới hợp lệ</t>
  </si>
  <si>
    <t>factorial(1) trả về 1</t>
  </si>
  <si>
    <t>1. math.factorial(1)</t>
  </si>
  <si>
    <t>Trường hợp đặc biệt</t>
  </si>
  <si>
    <t>factorial(5) trả về 120</t>
  </si>
  <si>
    <t>1. math.factorial(5)</t>
  </si>
  <si>
    <t>Kết quả = 120</t>
  </si>
  <si>
    <t>factorial(-1) ném exception</t>
  </si>
  <si>
    <t>1. Gọi math.factorial(-1)</t>
  </si>
  <si>
    <t>Ném IllegalArgumentException</t>
  </si>
  <si>
    <t>Trường hợp không hợp lệ</t>
  </si>
  <si>
    <t>plus(2,3) trả 5</t>
  </si>
  <si>
    <t>1. math.plus(2,3)</t>
  </si>
  <si>
    <t>Kết quả = 5</t>
  </si>
  <si>
    <t>Tổng 2 số dương</t>
  </si>
  <si>
    <t>plus(-2,3) trả 1</t>
  </si>
  <si>
    <t>1. math.plus(-2,3)</t>
  </si>
  <si>
    <t>Tổng có số âm</t>
  </si>
  <si>
    <t>Kiểm tra calls tăng đúng sau nhiều lần gọi</t>
  </si>
  <si>
    <t>1. assert getCalls()==0
2. factorial(1)
3. assert getCalls()==1 
4. plus(1,2) 
5. assert getCalls()==2</t>
  </si>
  <si>
    <t>Calls tăng đúng theo số lần gọi method</t>
  </si>
  <si>
    <t>Test bị bỏ qua với @Ignore</t>
  </si>
  <si>
    <t>1. Gắn @Ignore cho test 
2. Chạy test suite</t>
  </si>
  <si>
    <t>Test không chạy, được tính “ignored”</t>
  </si>
  <si>
    <t>Test Data</t>
  </si>
  <si>
    <t>Actual Result</t>
  </si>
  <si>
    <t>calls = 0</t>
  </si>
  <si>
    <t>number = 0</t>
  </si>
  <si>
    <t>number = 1</t>
  </si>
  <si>
    <t>number = 5</t>
  </si>
  <si>
    <t>number = -1</t>
  </si>
  <si>
    <t>num1 = 2
num2 = 3</t>
  </si>
  <si>
    <t>num1 = -2
num2 = 3</t>
  </si>
  <si>
    <t>factorial(1)
plus(1,2)</t>
  </si>
  <si>
    <t>plus(1,1)</t>
  </si>
  <si>
    <t>Trả về 1</t>
  </si>
  <si>
    <t>Trả về 120</t>
  </si>
  <si>
    <t>Trả về 5</t>
  </si>
  <si>
    <t>Calls tăng từ 0 → 1 → 2</t>
  </si>
  <si>
    <t>Test không được thực thi</t>
  </si>
  <si>
    <t>Kiểm thử in message gây exception</t>
  </si>
  <si>
    <t>Gọi printMessage()</t>
  </si>
  <si>
    <t>Gọi printHiMessage()</t>
  </si>
  <si>
    <t>Kiểm thử in chuỗi "Hi + message"</t>
  </si>
  <si>
    <t>message = "Fpoly"</t>
  </si>
  <si>
    <t>Ném ArithmeticException</t>
  </si>
  <si>
    <t>Test exception</t>
  </si>
  <si>
    <t>"Hi!Fpoly"</t>
  </si>
  <si>
    <t>Kiểm thử assertEquals chuỗi</t>
  </si>
  <si>
    <t>expected="Y", actual="Y"</t>
  </si>
  <si>
    <t>So sánh expected &amp; actual</t>
  </si>
  <si>
    <t>So sánh chuỗi</t>
  </si>
  <si>
    <t>Thực thi Test Suite</t>
  </si>
  <si>
    <t>SuiteTest1 + SuiteTest2</t>
  </si>
  <si>
    <t>Chạy JunitTest</t>
  </si>
  <si>
    <t>Kiểm tra fixture @Before tạo list đúng dữ liệu ban đầu</t>
  </si>
  <si>
    <t>defaultData = ["java","junit","testing"]</t>
  </si>
  <si>
    <t>1) @Before chạy tạo list từ defaultData 
2) Kiểm tra list.size() và phần tử</t>
  </si>
  <si>
    <t>list.size() = 3 và chứa "java","junit","testing"</t>
  </si>
  <si>
    <t>size=3, contains all</t>
  </si>
  <si>
    <t>Đảm bảo mỗi test độc lập</t>
  </si>
  <si>
    <t>Thêm phần tử mới → size tăng và list chứa phần tử</t>
  </si>
  <si>
    <t>add = "mockito"</t>
  </si>
  <si>
    <t>1) Lấy oldSize=list.size() 
2) list.add("mockito") 
3) assert size/contains/isEmpty</t>
  </si>
  <si>
    <t>size = oldSize + 1, contains "mockito", list không rỗng</t>
  </si>
  <si>
    <t>Xóa phần tử tồn tại → trả true, size giảm, không còn phần tử</t>
  </si>
  <si>
    <t>remove = "junit"</t>
  </si>
  <si>
    <t>1) oldSize=list.size() 
2.removed=list.remove("junit") 
3) assert removed/size/contains</t>
  </si>
  <si>
    <t>removed=true, size=oldSize-1, not contains "junit"</t>
  </si>
  <si>
    <t>Xóa phần tử không tồn tại → trả false, size không đổi</t>
  </si>
  <si>
    <t>remove="not-exist"</t>
  </si>
  <si>
    <t>1) oldSize=list.size() 
2) removed=list.remove("not-exist") 
3) assert removed/size</t>
  </si>
  <si>
    <t>removed=false, size=oldSize</t>
  </si>
  <si>
    <t>Truy cập index vượt phạm vi → ném exception</t>
  </si>
  <si>
    <t>index=999</t>
  </si>
  <si>
    <t>1) Gọi list.get(999) với @Test(expected=IndexOutOfBoundsException.class)</t>
  </si>
  <si>
    <t>Ném IndexOutOfBoundsException</t>
  </si>
  <si>
    <t>Kiểm thử hiệu năng với timeout: thao tác contains chạy trong thời gian giới hạn</t>
  </si>
  <si>
    <t>loop=10000, target="junit", timeout=50ms</t>
  </si>
  <si>
    <t>1) Lặp 10000 lần list.contains("junit") với @Test(timeout=50)</t>
  </si>
  <si>
    <t>Test hoàn thành &lt; 50ms (không timeout)</t>
  </si>
  <si>
    <t>LAB5_BAI5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</si>
</sst>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29" x14ac:knownFonts="1">
    <font>
      <sz val="11"/>
      <color rgb="FF000000"/>
      <name val="MS PGothic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sz val="11"/>
      <name val="MS PGothic"/>
    </font>
    <font>
      <b/>
      <sz val="20"/>
      <color rgb="FF000000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1"/>
      <color rgb="FF000000"/>
      <name val="Tahoma"/>
    </font>
    <font>
      <sz val="11"/>
      <color theme="1"/>
      <name val="Tahoma"/>
    </font>
    <font>
      <b/>
      <sz val="10"/>
      <color theme="1"/>
      <name val="Tahoma"/>
    </font>
    <font>
      <sz val="10"/>
      <color rgb="FFFFFFFF"/>
      <name val="Tahoma"/>
    </font>
    <font>
      <b/>
      <sz val="10"/>
      <color rgb="FF0000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u/>
      <sz val="10"/>
      <color rgb="FF0000FF"/>
      <name val="Tahoma"/>
    </font>
    <font>
      <sz val="11"/>
      <color rgb="FF000000"/>
      <name val="MS PGothic"/>
    </font>
    <font>
      <u/>
      <sz val="10"/>
      <color rgb="FF1155CC"/>
      <name val="Tahoma"/>
    </font>
    <font>
      <u/>
      <sz val="10"/>
      <color rgb="FF0000FF"/>
      <name val="Tahoma"/>
    </font>
    <font>
      <u/>
      <sz val="10"/>
      <color rgb="FF1155CC"/>
      <name val="Tahoma"/>
    </font>
    <font>
      <u/>
      <sz val="10"/>
      <color rgb="FF1155CC"/>
      <name val="Tahoma"/>
    </font>
    <font>
      <u/>
      <sz val="10"/>
      <color rgb="FF1155CC"/>
      <name val="Tahoma"/>
    </font>
    <font>
      <b/>
      <i/>
      <sz val="10"/>
      <color theme="1"/>
      <name val="Tahoma"/>
    </font>
    <font>
      <sz val="11"/>
      <color theme="1"/>
      <name val="Calibri"/>
    </font>
    <font>
      <sz val="11"/>
      <color theme="1"/>
      <name val="MS PGothic"/>
      <scheme val="minor"/>
    </font>
    <font>
      <sz val="10"/>
      <color theme="1"/>
      <name val="Tahoma"/>
      <family val="2"/>
    </font>
    <font>
      <b/>
      <sz val="10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8" fillId="2" borderId="10" xfId="0" applyNumberFormat="1" applyFont="1" applyFill="1" applyBorder="1" applyAlignment="1">
      <alignment horizontal="left" vertical="top"/>
    </xf>
    <xf numFmtId="0" fontId="8" fillId="0" borderId="4" xfId="0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9" fillId="3" borderId="15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10" fillId="0" borderId="5" xfId="0" applyNumberFormat="1" applyFont="1" applyBorder="1" applyAlignment="1">
      <alignment vertical="top" wrapText="1"/>
    </xf>
    <xf numFmtId="49" fontId="11" fillId="0" borderId="5" xfId="0" applyNumberFormat="1" applyFont="1" applyBorder="1" applyAlignment="1">
      <alignment vertical="top"/>
    </xf>
    <xf numFmtId="0" fontId="11" fillId="0" borderId="5" xfId="0" applyFont="1" applyBorder="1" applyAlignment="1">
      <alignment vertical="top"/>
    </xf>
    <xf numFmtId="15" fontId="11" fillId="0" borderId="0" xfId="0" applyNumberFormat="1" applyFont="1" applyAlignment="1">
      <alignment vertical="top"/>
    </xf>
    <xf numFmtId="15" fontId="11" fillId="0" borderId="5" xfId="0" applyNumberFormat="1" applyFont="1" applyBorder="1" applyAlignment="1">
      <alignment vertical="top"/>
    </xf>
    <xf numFmtId="15" fontId="1" fillId="0" borderId="18" xfId="0" applyNumberFormat="1" applyFont="1" applyBorder="1" applyAlignment="1">
      <alignment vertical="top"/>
    </xf>
    <xf numFmtId="49" fontId="1" fillId="0" borderId="19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5" fontId="1" fillId="0" borderId="21" xfId="0" applyNumberFormat="1" applyFont="1" applyBorder="1" applyAlignment="1">
      <alignment vertical="top"/>
    </xf>
    <xf numFmtId="49" fontId="1" fillId="0" borderId="22" xfId="0" applyNumberFormat="1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2" fillId="2" borderId="1" xfId="0" applyFont="1" applyFill="1" applyBorder="1"/>
    <xf numFmtId="15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/>
    </xf>
    <xf numFmtId="0" fontId="6" fillId="2" borderId="5" xfId="0" applyFont="1" applyFill="1" applyBorder="1" applyAlignment="1">
      <alignment vertical="center"/>
    </xf>
    <xf numFmtId="0" fontId="7" fillId="2" borderId="1" xfId="0" applyFont="1" applyFill="1" applyBorder="1"/>
    <xf numFmtId="0" fontId="9" fillId="3" borderId="27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 wrapText="1"/>
    </xf>
    <xf numFmtId="0" fontId="9" fillId="3" borderId="29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 vertical="center"/>
    </xf>
    <xf numFmtId="10" fontId="1" fillId="2" borderId="3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13" fillId="3" borderId="32" xfId="0" applyFont="1" applyFill="1" applyBorder="1" applyAlignment="1">
      <alignment horizontal="center"/>
    </xf>
    <xf numFmtId="0" fontId="9" fillId="3" borderId="33" xfId="0" applyFont="1" applyFill="1" applyBorder="1"/>
    <xf numFmtId="0" fontId="13" fillId="3" borderId="33" xfId="0" applyFont="1" applyFill="1" applyBorder="1" applyAlignment="1">
      <alignment horizontal="center"/>
    </xf>
    <xf numFmtId="10" fontId="13" fillId="3" borderId="34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14" fillId="2" borderId="1" xfId="0" applyNumberFormat="1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center" wrapText="1"/>
    </xf>
    <xf numFmtId="10" fontId="14" fillId="2" borderId="1" xfId="0" applyNumberFormat="1" applyFont="1" applyFill="1" applyBorder="1" applyAlignment="1">
      <alignment horizontal="right" wrapText="1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/>
    </xf>
    <xf numFmtId="1" fontId="9" fillId="4" borderId="36" xfId="0" applyNumberFormat="1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1" fontId="1" fillId="2" borderId="40" xfId="0" applyNumberFormat="1" applyFont="1" applyFill="1" applyBorder="1" applyAlignment="1">
      <alignment vertical="center"/>
    </xf>
    <xf numFmtId="49" fontId="1" fillId="2" borderId="41" xfId="0" applyNumberFormat="1" applyFont="1" applyFill="1" applyBorder="1" applyAlignment="1">
      <alignment horizontal="left" vertical="center"/>
    </xf>
    <xf numFmtId="0" fontId="17" fillId="2" borderId="42" xfId="0" applyFont="1" applyFill="1" applyBorder="1" applyAlignment="1">
      <alignment horizontal="left" vertical="center"/>
    </xf>
    <xf numFmtId="0" fontId="1" fillId="2" borderId="43" xfId="0" applyFont="1" applyFill="1" applyBorder="1" applyAlignment="1">
      <alignment horizontal="left" vertical="center"/>
    </xf>
    <xf numFmtId="0" fontId="18" fillId="0" borderId="0" xfId="0" applyFont="1"/>
    <xf numFmtId="1" fontId="1" fillId="2" borderId="44" xfId="0" applyNumberFormat="1" applyFont="1" applyFill="1" applyBorder="1" applyAlignment="1">
      <alignment vertical="center"/>
    </xf>
    <xf numFmtId="49" fontId="1" fillId="2" borderId="19" xfId="0" applyNumberFormat="1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1" fillId="2" borderId="45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22" fillId="2" borderId="19" xfId="0" applyNumberFormat="1" applyFont="1" applyFill="1" applyBorder="1" applyAlignment="1">
      <alignment horizontal="left" vertical="center"/>
    </xf>
    <xf numFmtId="49" fontId="1" fillId="2" borderId="46" xfId="0" applyNumberFormat="1" applyFont="1" applyFill="1" applyBorder="1" applyAlignment="1">
      <alignment horizontal="left" vertical="center"/>
    </xf>
    <xf numFmtId="0" fontId="23" fillId="2" borderId="46" xfId="0" applyFont="1" applyFill="1" applyBorder="1" applyAlignment="1">
      <alignment horizontal="left" vertical="center"/>
    </xf>
    <xf numFmtId="0" fontId="1" fillId="2" borderId="46" xfId="0" applyFont="1" applyFill="1" applyBorder="1" applyAlignment="1">
      <alignment horizontal="left" vertical="center"/>
    </xf>
    <xf numFmtId="0" fontId="1" fillId="2" borderId="47" xfId="0" applyFont="1" applyFill="1" applyBorder="1" applyAlignment="1">
      <alignment horizontal="left" vertical="center"/>
    </xf>
    <xf numFmtId="1" fontId="1" fillId="2" borderId="48" xfId="0" applyNumberFormat="1" applyFont="1" applyFill="1" applyBorder="1"/>
    <xf numFmtId="0" fontId="7" fillId="2" borderId="1" xfId="0" applyFont="1" applyFill="1" applyBorder="1" applyAlignment="1">
      <alignment wrapText="1"/>
    </xf>
    <xf numFmtId="10" fontId="7" fillId="2" borderId="1" xfId="0" applyNumberFormat="1" applyFont="1" applyFill="1" applyBorder="1" applyAlignment="1">
      <alignment wrapText="1"/>
    </xf>
    <xf numFmtId="0" fontId="12" fillId="2" borderId="49" xfId="0" applyFont="1" applyFill="1" applyBorder="1" applyAlignment="1">
      <alignment vertical="top" wrapText="1"/>
    </xf>
    <xf numFmtId="0" fontId="7" fillId="2" borderId="29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12" fillId="2" borderId="53" xfId="0" applyFont="1" applyFill="1" applyBorder="1" applyAlignment="1">
      <alignment vertical="top" wrapText="1"/>
    </xf>
    <xf numFmtId="0" fontId="7" fillId="2" borderId="54" xfId="0" applyFont="1" applyFill="1" applyBorder="1" applyAlignment="1">
      <alignment wrapText="1"/>
    </xf>
    <xf numFmtId="0" fontId="24" fillId="2" borderId="53" xfId="0" applyFont="1" applyFill="1" applyBorder="1" applyAlignment="1">
      <alignment horizontal="center" vertical="top" wrapText="1"/>
    </xf>
    <xf numFmtId="0" fontId="24" fillId="2" borderId="5" xfId="0" applyFont="1" applyFill="1" applyBorder="1" applyAlignment="1">
      <alignment horizontal="center" vertical="top" wrapText="1"/>
    </xf>
    <xf numFmtId="0" fontId="24" fillId="2" borderId="54" xfId="0" applyFont="1" applyFill="1" applyBorder="1" applyAlignment="1">
      <alignment horizontal="center" vertical="top" wrapText="1"/>
    </xf>
    <xf numFmtId="10" fontId="25" fillId="0" borderId="55" xfId="0" applyNumberFormat="1" applyFont="1" applyBorder="1"/>
    <xf numFmtId="0" fontId="1" fillId="2" borderId="56" xfId="0" applyFont="1" applyFill="1" applyBorder="1" applyAlignment="1">
      <alignment horizontal="center" vertical="top" wrapText="1"/>
    </xf>
    <xf numFmtId="0" fontId="1" fillId="2" borderId="57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58" xfId="0" applyFont="1" applyFill="1" applyBorder="1" applyAlignment="1">
      <alignment horizontal="center" vertical="center" wrapText="1"/>
    </xf>
    <xf numFmtId="0" fontId="9" fillId="5" borderId="59" xfId="0" applyFont="1" applyFill="1" applyBorder="1" applyAlignment="1">
      <alignment horizontal="center" vertical="center" wrapText="1"/>
    </xf>
    <xf numFmtId="10" fontId="9" fillId="5" borderId="59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65" fontId="1" fillId="2" borderId="5" xfId="0" applyNumberFormat="1" applyFont="1" applyFill="1" applyBorder="1" applyAlignment="1">
      <alignment vertical="top" wrapText="1"/>
    </xf>
    <xf numFmtId="10" fontId="1" fillId="2" borderId="5" xfId="0" applyNumberFormat="1" applyFont="1" applyFill="1" applyBorder="1" applyAlignment="1">
      <alignment vertical="top" wrapText="1"/>
    </xf>
    <xf numFmtId="10" fontId="25" fillId="0" borderId="0" xfId="0" applyNumberFormat="1" applyFont="1"/>
    <xf numFmtId="0" fontId="26" fillId="0" borderId="0" xfId="0" applyFont="1"/>
    <xf numFmtId="0" fontId="27" fillId="2" borderId="5" xfId="0" applyFont="1" applyFill="1" applyBorder="1" applyAlignment="1">
      <alignment vertical="top" wrapText="1"/>
    </xf>
    <xf numFmtId="0" fontId="27" fillId="2" borderId="5" xfId="0" applyFont="1" applyFill="1" applyBorder="1" applyAlignment="1">
      <alignment horizontal="left" vertical="top" wrapText="1"/>
    </xf>
    <xf numFmtId="0" fontId="1" fillId="2" borderId="60" xfId="0" applyFont="1" applyFill="1" applyBorder="1"/>
    <xf numFmtId="0" fontId="1" fillId="2" borderId="60" xfId="0" applyFont="1" applyFill="1" applyBorder="1" applyAlignment="1">
      <alignment horizontal="center" wrapText="1"/>
    </xf>
    <xf numFmtId="0" fontId="28" fillId="5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4" fillId="0" borderId="11" xfId="0" applyFont="1" applyBorder="1"/>
    <xf numFmtId="0" fontId="8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6" fillId="2" borderId="2" xfId="0" applyFont="1" applyFill="1" applyBorder="1" applyAlignment="1">
      <alignment horizontal="left"/>
    </xf>
    <xf numFmtId="0" fontId="8" fillId="2" borderId="58" xfId="0" applyFont="1" applyFill="1" applyBorder="1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2" borderId="10" xfId="0" applyFont="1" applyFill="1" applyBorder="1" applyAlignment="1">
      <alignment vertical="top"/>
    </xf>
    <xf numFmtId="0" fontId="5" fillId="2" borderId="24" xfId="0" applyFont="1" applyFill="1" applyBorder="1" applyAlignment="1">
      <alignment horizontal="center"/>
    </xf>
    <xf numFmtId="0" fontId="4" fillId="0" borderId="25" xfId="0" applyFont="1" applyBorder="1"/>
    <xf numFmtId="0" fontId="4" fillId="0" borderId="26" xfId="0" applyFont="1" applyBorder="1"/>
    <xf numFmtId="1" fontId="6" fillId="2" borderId="2" xfId="0" applyNumberFormat="1" applyFont="1" applyFill="1" applyBorder="1"/>
    <xf numFmtId="0" fontId="4" fillId="0" borderId="35" xfId="0" applyFont="1" applyBorder="1"/>
    <xf numFmtId="1" fontId="6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left" vertical="top" wrapText="1"/>
    </xf>
    <xf numFmtId="0" fontId="1" fillId="2" borderId="50" xfId="0" applyFont="1" applyFill="1" applyBorder="1" applyAlignment="1">
      <alignment horizontal="left" vertical="top" wrapText="1"/>
    </xf>
    <xf numFmtId="0" fontId="4" fillId="0" borderId="51" xfId="0" applyFont="1" applyBorder="1"/>
    <xf numFmtId="0" fontId="4" fillId="0" borderId="52" xfId="0" applyFont="1" applyBorder="1"/>
    <xf numFmtId="0" fontId="1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1156335</xdr:colOff>
      <xdr:row>1</xdr:row>
      <xdr:rowOff>19050</xdr:rowOff>
    </xdr:from>
    <xdr:ext cx="908685" cy="92583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08735" y="179070"/>
          <a:ext cx="908685" cy="92583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18" sqref="H18"/>
    </sheetView>
  </sheetViews>
  <sheetFormatPr defaultColWidth="12.6640625" defaultRowHeight="15" customHeight="1" x14ac:dyDescent="0.2"/>
  <cols>
    <col min="1" max="1" width="2.21875" customWidth="1"/>
    <col min="2" max="2" width="19.6640625" customWidth="1"/>
    <col min="3" max="3" width="9.21875" customWidth="1"/>
    <col min="4" max="4" width="18.88671875" customWidth="1"/>
    <col min="5" max="5" width="8" customWidth="1"/>
    <col min="6" max="6" width="31.109375" customWidth="1"/>
    <col min="7" max="7" width="31" customWidth="1"/>
    <col min="8" max="26" width="9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117"/>
      <c r="C2" s="118"/>
      <c r="D2" s="119"/>
      <c r="E2" s="120" t="s">
        <v>0</v>
      </c>
      <c r="F2" s="118"/>
      <c r="G2" s="11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8" t="s">
        <v>1</v>
      </c>
      <c r="C4" s="121" t="s">
        <v>69</v>
      </c>
      <c r="D4" s="118"/>
      <c r="E4" s="119"/>
      <c r="F4" s="8" t="s">
        <v>2</v>
      </c>
      <c r="G4" s="9" t="s">
        <v>70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8" t="s">
        <v>3</v>
      </c>
      <c r="C5" s="121" t="s">
        <v>69</v>
      </c>
      <c r="D5" s="118"/>
      <c r="E5" s="119"/>
      <c r="F5" s="8" t="s">
        <v>4</v>
      </c>
      <c r="G5" s="9" t="s">
        <v>70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22" t="s">
        <v>5</v>
      </c>
      <c r="C6" s="124" t="str">
        <f>C5&amp;"_"&amp;"Test Report"&amp;"_"&amp;"v1"</f>
        <v>LAB5_Test Report_v1</v>
      </c>
      <c r="D6" s="125"/>
      <c r="E6" s="126"/>
      <c r="F6" s="8" t="s">
        <v>6</v>
      </c>
      <c r="G6" s="10" t="s">
        <v>71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23"/>
      <c r="C7" s="127"/>
      <c r="D7" s="128"/>
      <c r="E7" s="129"/>
      <c r="F7" s="8" t="s">
        <v>7</v>
      </c>
      <c r="G7" s="11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">
      <c r="A12" s="18"/>
      <c r="B12" s="19">
        <v>46049</v>
      </c>
      <c r="C12" s="20" t="s">
        <v>14</v>
      </c>
      <c r="D12" s="21" t="s">
        <v>15</v>
      </c>
      <c r="E12" s="21" t="s">
        <v>16</v>
      </c>
      <c r="F12" s="22" t="s">
        <v>17</v>
      </c>
      <c r="G12" s="21" t="s">
        <v>18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">
      <c r="A13" s="18"/>
      <c r="B13" s="19"/>
      <c r="C13" s="20"/>
      <c r="D13" s="21"/>
      <c r="E13" s="21"/>
      <c r="F13" s="23"/>
      <c r="G13" s="21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 x14ac:dyDescent="0.2">
      <c r="A14" s="18"/>
      <c r="B14" s="19"/>
      <c r="C14" s="20"/>
      <c r="D14" s="21"/>
      <c r="E14" s="21"/>
      <c r="F14" s="23"/>
      <c r="G14" s="21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2">
      <c r="A15" s="18"/>
      <c r="B15" s="24"/>
      <c r="C15" s="25"/>
      <c r="D15" s="26"/>
      <c r="E15" s="26"/>
      <c r="F15" s="26"/>
      <c r="G15" s="2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2">
      <c r="A16" s="18"/>
      <c r="B16" s="24"/>
      <c r="C16" s="25"/>
      <c r="D16" s="26"/>
      <c r="E16" s="26"/>
      <c r="F16" s="26"/>
      <c r="G16" s="27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2">
      <c r="A17" s="18"/>
      <c r="B17" s="24"/>
      <c r="C17" s="25"/>
      <c r="D17" s="26"/>
      <c r="E17" s="26"/>
      <c r="F17" s="26"/>
      <c r="G17" s="27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2">
      <c r="A18" s="18"/>
      <c r="B18" s="28"/>
      <c r="C18" s="29"/>
      <c r="D18" s="30"/>
      <c r="E18" s="30"/>
      <c r="F18" s="30"/>
      <c r="G18" s="3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B2:D2"/>
    <mergeCell ref="E2:G2"/>
    <mergeCell ref="C4:E4"/>
    <mergeCell ref="C5:E5"/>
    <mergeCell ref="B6:B7"/>
    <mergeCell ref="C6:E7"/>
  </mergeCells>
  <pageMargins left="0.47013888888888888" right="0.47013888888888888" top="0.5" bottom="0.35138888888888886" header="0" footer="0"/>
  <pageSetup paperSize="9" orientation="landscape"/>
  <headerFooter>
    <oddFooter>&amp;L 02ae-BM/PM/HDCV/FSOFT v2/0&amp;CInternal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workbookViewId="0">
      <selection activeCell="L12" sqref="L12"/>
    </sheetView>
  </sheetViews>
  <sheetFormatPr defaultColWidth="12.6640625" defaultRowHeight="15" customHeight="1" x14ac:dyDescent="0.2"/>
  <cols>
    <col min="1" max="1" width="9" customWidth="1"/>
    <col min="2" max="2" width="13.44140625" customWidth="1"/>
    <col min="3" max="3" width="36.33203125" customWidth="1"/>
    <col min="4" max="6" width="11.6640625" customWidth="1"/>
    <col min="7" max="7" width="9" customWidth="1"/>
    <col min="8" max="8" width="35.44140625" customWidth="1"/>
    <col min="9" max="9" width="33.44140625" customWidth="1"/>
    <col min="10" max="26" width="9" customWidth="1"/>
  </cols>
  <sheetData>
    <row r="1" spans="1:26" ht="25.5" customHeight="1" x14ac:dyDescent="0.4">
      <c r="A1" s="7"/>
      <c r="B1" s="134" t="s">
        <v>19</v>
      </c>
      <c r="C1" s="135"/>
      <c r="D1" s="135"/>
      <c r="E1" s="135"/>
      <c r="F1" s="135"/>
      <c r="G1" s="135"/>
      <c r="H1" s="13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25">
      <c r="A2" s="32"/>
      <c r="B2" s="32"/>
      <c r="C2" s="7"/>
      <c r="D2" s="7"/>
      <c r="E2" s="7"/>
      <c r="F2" s="7"/>
      <c r="G2" s="7"/>
      <c r="H2" s="33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25">
      <c r="A3" s="7"/>
      <c r="B3" s="34" t="s">
        <v>1</v>
      </c>
      <c r="C3" s="121" t="s">
        <v>69</v>
      </c>
      <c r="D3" s="119"/>
      <c r="E3" s="130" t="s">
        <v>2</v>
      </c>
      <c r="F3" s="119"/>
      <c r="G3" s="35"/>
      <c r="H3" s="9" t="s">
        <v>70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25">
      <c r="A4" s="7"/>
      <c r="B4" s="34" t="s">
        <v>3</v>
      </c>
      <c r="C4" s="121" t="s">
        <v>69</v>
      </c>
      <c r="D4" s="119"/>
      <c r="E4" s="130" t="s">
        <v>4</v>
      </c>
      <c r="F4" s="119"/>
      <c r="G4" s="35"/>
      <c r="H4" s="9" t="s">
        <v>70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25">
      <c r="A5" s="7"/>
      <c r="B5" s="36" t="s">
        <v>5</v>
      </c>
      <c r="C5" s="121" t="str">
        <f>C4&amp;"_"&amp;"Test Report"&amp;"_"&amp;"v1"</f>
        <v>LAB5_Test Report_v1</v>
      </c>
      <c r="D5" s="119"/>
      <c r="E5" s="130" t="s">
        <v>6</v>
      </c>
      <c r="F5" s="119"/>
      <c r="G5" s="35"/>
      <c r="H5" s="10" t="s">
        <v>71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25">
      <c r="A6" s="32"/>
      <c r="B6" s="36" t="s">
        <v>20</v>
      </c>
      <c r="C6" s="131" t="s">
        <v>21</v>
      </c>
      <c r="D6" s="132"/>
      <c r="E6" s="132"/>
      <c r="F6" s="132"/>
      <c r="G6" s="132"/>
      <c r="H6" s="13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25">
      <c r="A7" s="32"/>
      <c r="B7" s="12"/>
      <c r="C7" s="37"/>
      <c r="D7" s="7"/>
      <c r="E7" s="7"/>
      <c r="F7" s="7"/>
      <c r="G7" s="7"/>
      <c r="H7" s="33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7"/>
      <c r="B8" s="12"/>
      <c r="C8" s="37"/>
      <c r="D8" s="7"/>
      <c r="E8" s="7"/>
      <c r="F8" s="7"/>
      <c r="G8" s="7"/>
      <c r="H8" s="33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7"/>
      <c r="B10" s="38" t="s">
        <v>22</v>
      </c>
      <c r="C10" s="39" t="s">
        <v>23</v>
      </c>
      <c r="D10" s="40" t="s">
        <v>24</v>
      </c>
      <c r="E10" s="39" t="s">
        <v>25</v>
      </c>
      <c r="F10" s="39" t="s">
        <v>26</v>
      </c>
      <c r="G10" s="39" t="s">
        <v>18</v>
      </c>
      <c r="H10" s="40" t="s">
        <v>27</v>
      </c>
      <c r="I10" s="41" t="s">
        <v>28</v>
      </c>
      <c r="J10" s="7"/>
      <c r="K10" s="4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43">
        <v>1</v>
      </c>
      <c r="C11" s="44" t="str">
        <f>LAB5_BAI1!B2</f>
        <v>LAB5_BAI1</v>
      </c>
      <c r="D11" s="42">
        <f>LAB5_BAI1!B6</f>
        <v>9</v>
      </c>
      <c r="E11" s="42">
        <f>LAB5_BAI1!C6</f>
        <v>0</v>
      </c>
      <c r="F11" s="42">
        <f>LAB5_BAI1!E6</f>
        <v>0</v>
      </c>
      <c r="G11" s="42">
        <f>LAB5_BAI1!F6</f>
        <v>0</v>
      </c>
      <c r="H11" s="42">
        <f>LAB5_BAI1!G6</f>
        <v>9</v>
      </c>
      <c r="I11" s="45">
        <f>LAB5_BAI1!A6</f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43">
        <v>2</v>
      </c>
      <c r="C12" s="7" t="str">
        <f>LAB5_BAI2!B2</f>
        <v>LAB5_BAI2</v>
      </c>
      <c r="D12" s="42">
        <f>LAB5_BAI2!B6</f>
        <v>4</v>
      </c>
      <c r="E12" s="42">
        <f>LAB5_BAI2!C6</f>
        <v>0</v>
      </c>
      <c r="F12" s="42">
        <f>LAB5_BAI2!E6</f>
        <v>0</v>
      </c>
      <c r="G12" s="42">
        <f>LAB5_BAI2!F6</f>
        <v>0</v>
      </c>
      <c r="H12" s="42">
        <f>LAB5_BAI2!G6</f>
        <v>4</v>
      </c>
      <c r="I12" s="45">
        <f>LAB5_BAI2!A6</f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43">
        <v>3</v>
      </c>
      <c r="C13" s="7" t="str">
        <f>LAB5_BAI3!B2</f>
        <v>LAB5_BAI3</v>
      </c>
      <c r="D13" s="42">
        <f>LAB5_BAI3!B6</f>
        <v>6</v>
      </c>
      <c r="E13" s="42">
        <f>LAB5_BAI3!C6</f>
        <v>0</v>
      </c>
      <c r="F13" s="42">
        <f>LAB5_BAI3!E6</f>
        <v>0</v>
      </c>
      <c r="G13" s="42">
        <f>LAB5_BAI3!F6</f>
        <v>0</v>
      </c>
      <c r="H13" s="42">
        <f>LAB5_BAI3!G6</f>
        <v>6</v>
      </c>
      <c r="I13" s="45">
        <f>LAB5_BAI3!A6</f>
        <v>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43">
        <v>4</v>
      </c>
      <c r="C14" s="7" t="str">
        <f>LAB5_BAI4!B2</f>
        <v>LAB5_BAI4</v>
      </c>
      <c r="D14" s="42">
        <f>LAB5_BAI4!B6</f>
        <v>1</v>
      </c>
      <c r="E14" s="42">
        <f>LAB5_BAI4!C6</f>
        <v>0</v>
      </c>
      <c r="F14" s="42">
        <f>LAB5_BAI4!D6</f>
        <v>0</v>
      </c>
      <c r="G14" s="42">
        <f>LAB5_BAI4!E6</f>
        <v>0</v>
      </c>
      <c r="H14" s="42">
        <f>LAB5_BAI4!F6</f>
        <v>1</v>
      </c>
      <c r="I14" s="45">
        <f>LAB5_BAI4!A6</f>
        <v>0.9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43"/>
      <c r="C15" s="7"/>
      <c r="D15" s="42"/>
      <c r="E15" s="42"/>
      <c r="F15" s="42"/>
      <c r="G15" s="42"/>
      <c r="H15" s="42"/>
      <c r="I15" s="45"/>
      <c r="J15" s="42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43"/>
      <c r="C16" s="7"/>
      <c r="D16" s="42"/>
      <c r="E16" s="42"/>
      <c r="F16" s="42"/>
      <c r="G16" s="42"/>
      <c r="H16" s="42"/>
      <c r="I16" s="4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43"/>
      <c r="C17" s="7"/>
      <c r="D17" s="42"/>
      <c r="E17" s="42"/>
      <c r="F17" s="42"/>
      <c r="G17" s="42"/>
      <c r="H17" s="42"/>
      <c r="I17" s="4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43"/>
      <c r="C18" s="44"/>
      <c r="D18" s="42"/>
      <c r="E18" s="42"/>
      <c r="F18" s="42"/>
      <c r="G18" s="42"/>
      <c r="H18" s="42"/>
      <c r="I18" s="4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43"/>
      <c r="C19" s="44"/>
      <c r="D19" s="42"/>
      <c r="E19" s="42"/>
      <c r="F19" s="42"/>
      <c r="G19" s="42"/>
      <c r="H19" s="42"/>
      <c r="I19" s="4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43"/>
      <c r="C20" s="44"/>
      <c r="D20" s="42"/>
      <c r="E20" s="42"/>
      <c r="F20" s="42"/>
      <c r="G20" s="42"/>
      <c r="H20" s="42"/>
      <c r="I20" s="4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43"/>
      <c r="C21" s="44"/>
      <c r="D21" s="42"/>
      <c r="E21" s="42"/>
      <c r="F21" s="42"/>
      <c r="G21" s="42"/>
      <c r="H21" s="42"/>
      <c r="I21" s="4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43"/>
      <c r="C22" s="7"/>
      <c r="D22" s="42"/>
      <c r="E22" s="42"/>
      <c r="F22" s="42"/>
      <c r="G22" s="42"/>
      <c r="H22" s="42"/>
      <c r="I22" s="4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43"/>
      <c r="C23" s="7"/>
      <c r="D23" s="42"/>
      <c r="E23" s="42"/>
      <c r="F23" s="42"/>
      <c r="G23" s="42"/>
      <c r="H23" s="42"/>
      <c r="I23" s="4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43"/>
      <c r="C24" s="7"/>
      <c r="D24" s="42"/>
      <c r="E24" s="42"/>
      <c r="F24" s="42"/>
      <c r="G24" s="42"/>
      <c r="H24" s="42"/>
      <c r="I24" s="4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43"/>
      <c r="C25" s="7"/>
      <c r="D25" s="42"/>
      <c r="E25" s="42"/>
      <c r="F25" s="42"/>
      <c r="G25" s="42"/>
      <c r="H25" s="42"/>
      <c r="I25" s="4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43"/>
      <c r="C26" s="7"/>
      <c r="D26" s="42"/>
      <c r="E26" s="42"/>
      <c r="F26" s="42"/>
      <c r="G26" s="42"/>
      <c r="H26" s="42"/>
      <c r="I26" s="4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43"/>
      <c r="C27" s="7"/>
      <c r="D27" s="42"/>
      <c r="E27" s="42"/>
      <c r="F27" s="42"/>
      <c r="G27" s="42"/>
      <c r="H27" s="42"/>
      <c r="I27" s="4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47"/>
      <c r="C28" s="48" t="s">
        <v>29</v>
      </c>
      <c r="D28" s="49">
        <f>SUM(D11:D27)</f>
        <v>20</v>
      </c>
      <c r="E28" s="49">
        <f t="shared" ref="E28:G28" si="0">SUM(E9:E13)</f>
        <v>0</v>
      </c>
      <c r="F28" s="49">
        <f t="shared" si="0"/>
        <v>0</v>
      </c>
      <c r="G28" s="49">
        <f t="shared" si="0"/>
        <v>0</v>
      </c>
      <c r="H28" s="49">
        <f>SUM(H11:H27)</f>
        <v>20</v>
      </c>
      <c r="I28" s="50">
        <f>SUM(I11:I27)/COUNT(I11:I27)</f>
        <v>0.97499999999999998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42"/>
      <c r="C29" s="7"/>
      <c r="D29" s="46"/>
      <c r="E29" s="51"/>
      <c r="F29" s="51"/>
      <c r="G29" s="51"/>
      <c r="H29" s="51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5" t="s">
        <v>30</v>
      </c>
      <c r="D30" s="7"/>
      <c r="E30" s="52">
        <f>(D28+E28)*100/(H28-G28)</f>
        <v>100</v>
      </c>
      <c r="F30" s="7" t="s">
        <v>31</v>
      </c>
      <c r="G30" s="7"/>
      <c r="H30" s="53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5" t="s">
        <v>32</v>
      </c>
      <c r="D31" s="7"/>
      <c r="E31" s="52">
        <f>D28*100/(H28-G28)</f>
        <v>100</v>
      </c>
      <c r="F31" s="7" t="s">
        <v>31</v>
      </c>
      <c r="G31" s="7"/>
      <c r="H31" s="53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5" t="s">
        <v>33</v>
      </c>
      <c r="D32" s="7"/>
      <c r="E32" s="54">
        <f>I28</f>
        <v>0.97499999999999998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4791666666666667" right="0.74791666666666667" top="0.98402777777777783" bottom="0.98402777777777772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topLeftCell="A7" workbookViewId="0">
      <selection activeCell="D10" sqref="D10"/>
    </sheetView>
  </sheetViews>
  <sheetFormatPr defaultColWidth="12.6640625" defaultRowHeight="15" customHeight="1" x14ac:dyDescent="0.2"/>
  <cols>
    <col min="1" max="1" width="1.77734375" customWidth="1"/>
    <col min="2" max="2" width="11.77734375" customWidth="1"/>
    <col min="3" max="4" width="37.77734375" customWidth="1"/>
    <col min="5" max="5" width="28.109375" customWidth="1"/>
    <col min="6" max="6" width="30.6640625" customWidth="1"/>
    <col min="7" max="26" width="9" customWidth="1"/>
  </cols>
  <sheetData>
    <row r="1" spans="1:26" ht="24.6" x14ac:dyDescent="0.4">
      <c r="A1" s="7"/>
      <c r="B1" s="55"/>
      <c r="C1" s="56"/>
      <c r="D1" s="57" t="s">
        <v>34</v>
      </c>
      <c r="E1" s="58"/>
      <c r="F1" s="5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25">
      <c r="A2" s="7"/>
      <c r="B2" s="55"/>
      <c r="C2" s="56"/>
      <c r="D2" s="59"/>
      <c r="E2" s="59"/>
      <c r="F2" s="5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5">
      <c r="A3" s="7"/>
      <c r="B3" s="137" t="s">
        <v>1</v>
      </c>
      <c r="C3" s="138"/>
      <c r="D3" s="121" t="str">
        <f>Cover!C4</f>
        <v>LAB5</v>
      </c>
      <c r="E3" s="118"/>
      <c r="F3" s="11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5">
      <c r="A4" s="7"/>
      <c r="B4" s="137" t="s">
        <v>3</v>
      </c>
      <c r="C4" s="138"/>
      <c r="D4" s="121" t="str">
        <f>Cover!C5</f>
        <v>LAB5</v>
      </c>
      <c r="E4" s="118"/>
      <c r="F4" s="119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25">
      <c r="A5" s="60"/>
      <c r="B5" s="139" t="s">
        <v>35</v>
      </c>
      <c r="C5" s="119"/>
      <c r="D5" s="140" t="s">
        <v>76</v>
      </c>
      <c r="E5" s="118"/>
      <c r="F5" s="119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2.75" customHeight="1" x14ac:dyDescent="0.25">
      <c r="A6" s="7"/>
      <c r="B6" s="6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">
      <c r="A7" s="62"/>
      <c r="B7" s="63"/>
      <c r="C7" s="64"/>
      <c r="D7" s="64"/>
      <c r="E7" s="64"/>
      <c r="F7" s="64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21" customHeight="1" x14ac:dyDescent="0.25">
      <c r="A8" s="65"/>
      <c r="B8" s="66" t="s">
        <v>22</v>
      </c>
      <c r="C8" s="67" t="s">
        <v>36</v>
      </c>
      <c r="D8" s="67" t="s">
        <v>37</v>
      </c>
      <c r="E8" s="68" t="s">
        <v>38</v>
      </c>
      <c r="F8" s="69" t="s">
        <v>39</v>
      </c>
      <c r="G8" s="7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2.75" customHeight="1" x14ac:dyDescent="0.25">
      <c r="A9" s="7"/>
      <c r="B9" s="70">
        <v>1</v>
      </c>
      <c r="C9" s="71" t="s">
        <v>72</v>
      </c>
      <c r="D9" s="77" t="s">
        <v>72</v>
      </c>
      <c r="E9" s="72"/>
      <c r="F9" s="73"/>
      <c r="G9" s="7"/>
      <c r="H9" s="7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5">
        <v>2</v>
      </c>
      <c r="C10" s="76" t="s">
        <v>73</v>
      </c>
      <c r="D10" s="77" t="s">
        <v>73</v>
      </c>
      <c r="E10" s="78"/>
      <c r="F10" s="79"/>
      <c r="G10" s="7"/>
      <c r="H10" s="7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0">
        <v>3</v>
      </c>
      <c r="C11" s="76" t="s">
        <v>74</v>
      </c>
      <c r="D11" s="77" t="s">
        <v>74</v>
      </c>
      <c r="E11" s="78"/>
      <c r="F11" s="79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0">
        <v>4</v>
      </c>
      <c r="C12" s="1" t="s">
        <v>75</v>
      </c>
      <c r="D12" s="77" t="s">
        <v>75</v>
      </c>
      <c r="E12" s="78"/>
      <c r="F12" s="79"/>
      <c r="G12" s="7"/>
      <c r="H12" s="7"/>
      <c r="I12" s="7"/>
      <c r="J12" s="7"/>
      <c r="K12" s="7"/>
      <c r="L12" s="44"/>
      <c r="M12" s="4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5">
        <v>5</v>
      </c>
      <c r="C13" s="76" t="s">
        <v>165</v>
      </c>
      <c r="D13" s="77" t="s">
        <v>165</v>
      </c>
      <c r="E13" s="78"/>
      <c r="F13" s="79"/>
      <c r="G13" s="7"/>
      <c r="H13" s="7"/>
      <c r="I13" s="7"/>
      <c r="J13" s="7"/>
      <c r="K13" s="7"/>
      <c r="L13" s="7"/>
      <c r="M13" s="4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70"/>
      <c r="C14" s="76"/>
      <c r="D14" s="77"/>
      <c r="E14" s="78"/>
      <c r="F14" s="79"/>
      <c r="G14" s="7"/>
      <c r="H14" s="7"/>
      <c r="I14" s="7"/>
      <c r="J14" s="7"/>
      <c r="K14" s="7"/>
      <c r="L14" s="7"/>
      <c r="M14" s="4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70"/>
      <c r="C15" s="76"/>
      <c r="D15" s="77"/>
      <c r="E15" s="78"/>
      <c r="F15" s="7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75"/>
      <c r="C16" s="76"/>
      <c r="D16" s="77"/>
      <c r="E16" s="81"/>
      <c r="F16" s="7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70"/>
      <c r="C17" s="76"/>
      <c r="D17" s="82"/>
      <c r="E17" s="81"/>
      <c r="F17" s="7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0"/>
      <c r="C18" s="76"/>
      <c r="D18" s="77"/>
      <c r="E18" s="81"/>
      <c r="F18" s="7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5"/>
      <c r="C19" s="76"/>
      <c r="D19" s="77"/>
      <c r="E19" s="81"/>
      <c r="F19" s="7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0"/>
      <c r="C20" s="76"/>
      <c r="D20" s="77"/>
      <c r="E20" s="81"/>
      <c r="F20" s="79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0"/>
      <c r="C21" s="76"/>
      <c r="D21" s="77"/>
      <c r="E21" s="81"/>
      <c r="F21" s="79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5"/>
      <c r="C22" s="76"/>
      <c r="D22" s="77"/>
      <c r="E22" s="81"/>
      <c r="F22" s="79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0"/>
      <c r="C23" s="76"/>
      <c r="D23" s="77"/>
      <c r="E23" s="81"/>
      <c r="F23" s="79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0"/>
      <c r="C24" s="76"/>
      <c r="D24" s="80"/>
      <c r="E24" s="81"/>
      <c r="F24" s="79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5"/>
      <c r="C25" s="83"/>
      <c r="D25" s="84"/>
      <c r="E25" s="85"/>
      <c r="F25" s="8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87"/>
      <c r="C26" s="56"/>
      <c r="D26" s="56"/>
      <c r="E26" s="56"/>
      <c r="F26" s="5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55"/>
      <c r="C27" s="56"/>
      <c r="D27" s="56"/>
      <c r="E27" s="56"/>
      <c r="F27" s="5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55"/>
      <c r="C28" s="56"/>
      <c r="D28" s="56"/>
      <c r="E28" s="56"/>
      <c r="F28" s="5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55"/>
      <c r="C29" s="56"/>
      <c r="D29" s="56"/>
      <c r="E29" s="56"/>
      <c r="F29" s="5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55"/>
      <c r="C30" s="56"/>
      <c r="D30" s="56"/>
      <c r="E30" s="56"/>
      <c r="F30" s="5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55"/>
      <c r="C31" s="56"/>
      <c r="D31" s="56"/>
      <c r="E31" s="56"/>
      <c r="F31" s="5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55"/>
      <c r="C32" s="56"/>
      <c r="D32" s="56"/>
      <c r="E32" s="56"/>
      <c r="F32" s="5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55"/>
      <c r="C33" s="56"/>
      <c r="D33" s="56"/>
      <c r="E33" s="56"/>
      <c r="F33" s="5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55"/>
      <c r="C34" s="56"/>
      <c r="D34" s="56"/>
      <c r="E34" s="56"/>
      <c r="F34" s="5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55"/>
      <c r="C35" s="56"/>
      <c r="D35" s="56"/>
      <c r="E35" s="56"/>
      <c r="F35" s="5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55"/>
      <c r="C36" s="56"/>
      <c r="D36" s="56"/>
      <c r="E36" s="56"/>
      <c r="F36" s="5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55"/>
      <c r="C37" s="56"/>
      <c r="D37" s="56"/>
      <c r="E37" s="56"/>
      <c r="F37" s="5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55"/>
      <c r="C38" s="56"/>
      <c r="D38" s="56"/>
      <c r="E38" s="56"/>
      <c r="F38" s="5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55"/>
      <c r="C39" s="56"/>
      <c r="D39" s="56"/>
      <c r="E39" s="56"/>
      <c r="F39" s="5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55"/>
      <c r="C40" s="56"/>
      <c r="D40" s="56"/>
      <c r="E40" s="56"/>
      <c r="F40" s="5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55"/>
      <c r="C41" s="56"/>
      <c r="D41" s="56"/>
      <c r="E41" s="56"/>
      <c r="F41" s="5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55"/>
      <c r="C42" s="56"/>
      <c r="D42" s="56"/>
      <c r="E42" s="56"/>
      <c r="F42" s="5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55"/>
      <c r="C43" s="56"/>
      <c r="D43" s="56"/>
      <c r="E43" s="56"/>
      <c r="F43" s="5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55"/>
      <c r="C44" s="56"/>
      <c r="D44" s="56"/>
      <c r="E44" s="56"/>
      <c r="F44" s="56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55"/>
      <c r="C45" s="56"/>
      <c r="D45" s="56"/>
      <c r="E45" s="56"/>
      <c r="F45" s="5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55"/>
      <c r="C46" s="56"/>
      <c r="D46" s="56"/>
      <c r="E46" s="56"/>
      <c r="F46" s="5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55"/>
      <c r="C47" s="56"/>
      <c r="D47" s="56"/>
      <c r="E47" s="56"/>
      <c r="F47" s="5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55"/>
      <c r="C48" s="56"/>
      <c r="D48" s="56"/>
      <c r="E48" s="56"/>
      <c r="F48" s="5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55"/>
      <c r="C49" s="56"/>
      <c r="D49" s="56"/>
      <c r="E49" s="56"/>
      <c r="F49" s="5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55"/>
      <c r="C50" s="56"/>
      <c r="D50" s="56"/>
      <c r="E50" s="56"/>
      <c r="F50" s="5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55"/>
      <c r="C51" s="56"/>
      <c r="D51" s="56"/>
      <c r="E51" s="56"/>
      <c r="F51" s="5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55"/>
      <c r="C52" s="56"/>
      <c r="D52" s="56"/>
      <c r="E52" s="56"/>
      <c r="F52" s="5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55"/>
      <c r="C53" s="56"/>
      <c r="D53" s="56"/>
      <c r="E53" s="56"/>
      <c r="F53" s="5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55"/>
      <c r="C54" s="56"/>
      <c r="D54" s="56"/>
      <c r="E54" s="56"/>
      <c r="F54" s="5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55"/>
      <c r="C55" s="56"/>
      <c r="D55" s="56"/>
      <c r="E55" s="56"/>
      <c r="F55" s="5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55"/>
      <c r="C56" s="56"/>
      <c r="D56" s="56"/>
      <c r="E56" s="56"/>
      <c r="F56" s="5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55"/>
      <c r="C57" s="56"/>
      <c r="D57" s="56"/>
      <c r="E57" s="56"/>
      <c r="F57" s="5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55"/>
      <c r="C58" s="56"/>
      <c r="D58" s="56"/>
      <c r="E58" s="56"/>
      <c r="F58" s="5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55"/>
      <c r="C59" s="56"/>
      <c r="D59" s="56"/>
      <c r="E59" s="56"/>
      <c r="F59" s="5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55"/>
      <c r="C60" s="56"/>
      <c r="D60" s="56"/>
      <c r="E60" s="56"/>
      <c r="F60" s="5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55"/>
      <c r="C61" s="56"/>
      <c r="D61" s="56"/>
      <c r="E61" s="56"/>
      <c r="F61" s="5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55"/>
      <c r="C62" s="56"/>
      <c r="D62" s="56"/>
      <c r="E62" s="56"/>
      <c r="F62" s="5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55"/>
      <c r="C63" s="56"/>
      <c r="D63" s="56"/>
      <c r="E63" s="56"/>
      <c r="F63" s="5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55"/>
      <c r="C64" s="56"/>
      <c r="D64" s="56"/>
      <c r="E64" s="56"/>
      <c r="F64" s="5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55"/>
      <c r="C65" s="56"/>
      <c r="D65" s="56"/>
      <c r="E65" s="56"/>
      <c r="F65" s="5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55"/>
      <c r="C66" s="56"/>
      <c r="D66" s="56"/>
      <c r="E66" s="56"/>
      <c r="F66" s="5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55"/>
      <c r="C67" s="56"/>
      <c r="D67" s="56"/>
      <c r="E67" s="56"/>
      <c r="F67" s="5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55"/>
      <c r="C68" s="56"/>
      <c r="D68" s="56"/>
      <c r="E68" s="56"/>
      <c r="F68" s="5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55"/>
      <c r="C69" s="56"/>
      <c r="D69" s="56"/>
      <c r="E69" s="56"/>
      <c r="F69" s="5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55"/>
      <c r="C70" s="56"/>
      <c r="D70" s="56"/>
      <c r="E70" s="56"/>
      <c r="F70" s="5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55"/>
      <c r="C71" s="56"/>
      <c r="D71" s="56"/>
      <c r="E71" s="56"/>
      <c r="F71" s="5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55"/>
      <c r="C72" s="56"/>
      <c r="D72" s="56"/>
      <c r="E72" s="56"/>
      <c r="F72" s="5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55"/>
      <c r="C73" s="56"/>
      <c r="D73" s="56"/>
      <c r="E73" s="56"/>
      <c r="F73" s="5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55"/>
      <c r="C74" s="56"/>
      <c r="D74" s="56"/>
      <c r="E74" s="56"/>
      <c r="F74" s="5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55"/>
      <c r="C75" s="56"/>
      <c r="D75" s="56"/>
      <c r="E75" s="56"/>
      <c r="F75" s="5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55"/>
      <c r="C76" s="56"/>
      <c r="D76" s="56"/>
      <c r="E76" s="56"/>
      <c r="F76" s="5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55"/>
      <c r="C77" s="56"/>
      <c r="D77" s="56"/>
      <c r="E77" s="56"/>
      <c r="F77" s="5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55"/>
      <c r="C78" s="56"/>
      <c r="D78" s="56"/>
      <c r="E78" s="56"/>
      <c r="F78" s="5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55"/>
      <c r="C79" s="56"/>
      <c r="D79" s="56"/>
      <c r="E79" s="56"/>
      <c r="F79" s="5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55"/>
      <c r="C80" s="56"/>
      <c r="D80" s="56"/>
      <c r="E80" s="56"/>
      <c r="F80" s="5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55"/>
      <c r="C81" s="56"/>
      <c r="D81" s="56"/>
      <c r="E81" s="56"/>
      <c r="F81" s="5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55"/>
      <c r="C82" s="56"/>
      <c r="D82" s="56"/>
      <c r="E82" s="56"/>
      <c r="F82" s="5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55"/>
      <c r="C83" s="56"/>
      <c r="D83" s="56"/>
      <c r="E83" s="56"/>
      <c r="F83" s="5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55"/>
      <c r="C84" s="56"/>
      <c r="D84" s="56"/>
      <c r="E84" s="56"/>
      <c r="F84" s="5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55"/>
      <c r="C85" s="56"/>
      <c r="D85" s="56"/>
      <c r="E85" s="56"/>
      <c r="F85" s="5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55"/>
      <c r="C86" s="56"/>
      <c r="D86" s="56"/>
      <c r="E86" s="56"/>
      <c r="F86" s="5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55"/>
      <c r="C87" s="56"/>
      <c r="D87" s="56"/>
      <c r="E87" s="56"/>
      <c r="F87" s="5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55"/>
      <c r="C88" s="56"/>
      <c r="D88" s="56"/>
      <c r="E88" s="56"/>
      <c r="F88" s="5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55"/>
      <c r="C89" s="56"/>
      <c r="D89" s="56"/>
      <c r="E89" s="56"/>
      <c r="F89" s="5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55"/>
      <c r="C90" s="56"/>
      <c r="D90" s="56"/>
      <c r="E90" s="56"/>
      <c r="F90" s="5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55"/>
      <c r="C91" s="56"/>
      <c r="D91" s="56"/>
      <c r="E91" s="56"/>
      <c r="F91" s="5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55"/>
      <c r="C92" s="56"/>
      <c r="D92" s="56"/>
      <c r="E92" s="56"/>
      <c r="F92" s="5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55"/>
      <c r="C93" s="56"/>
      <c r="D93" s="56"/>
      <c r="E93" s="56"/>
      <c r="F93" s="5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55"/>
      <c r="C94" s="56"/>
      <c r="D94" s="56"/>
      <c r="E94" s="56"/>
      <c r="F94" s="5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55"/>
      <c r="C95" s="56"/>
      <c r="D95" s="56"/>
      <c r="E95" s="56"/>
      <c r="F95" s="5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55"/>
      <c r="C96" s="56"/>
      <c r="D96" s="56"/>
      <c r="E96" s="56"/>
      <c r="F96" s="5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55"/>
      <c r="C97" s="56"/>
      <c r="D97" s="56"/>
      <c r="E97" s="56"/>
      <c r="F97" s="5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55"/>
      <c r="C98" s="56"/>
      <c r="D98" s="56"/>
      <c r="E98" s="56"/>
      <c r="F98" s="5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55"/>
      <c r="C99" s="56"/>
      <c r="D99" s="56"/>
      <c r="E99" s="56"/>
      <c r="F99" s="5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55"/>
      <c r="C100" s="56"/>
      <c r="D100" s="56"/>
      <c r="E100" s="56"/>
      <c r="F100" s="5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55"/>
      <c r="C101" s="56"/>
      <c r="D101" s="56"/>
      <c r="E101" s="56"/>
      <c r="F101" s="5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55"/>
      <c r="C102" s="56"/>
      <c r="D102" s="56"/>
      <c r="E102" s="56"/>
      <c r="F102" s="5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55"/>
      <c r="C103" s="56"/>
      <c r="D103" s="56"/>
      <c r="E103" s="56"/>
      <c r="F103" s="5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55"/>
      <c r="C104" s="56"/>
      <c r="D104" s="56"/>
      <c r="E104" s="56"/>
      <c r="F104" s="5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55"/>
      <c r="C105" s="56"/>
      <c r="D105" s="56"/>
      <c r="E105" s="56"/>
      <c r="F105" s="5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55"/>
      <c r="C106" s="56"/>
      <c r="D106" s="56"/>
      <c r="E106" s="56"/>
      <c r="F106" s="5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55"/>
      <c r="C107" s="56"/>
      <c r="D107" s="56"/>
      <c r="E107" s="56"/>
      <c r="F107" s="5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55"/>
      <c r="C108" s="56"/>
      <c r="D108" s="56"/>
      <c r="E108" s="56"/>
      <c r="F108" s="5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55"/>
      <c r="C109" s="56"/>
      <c r="D109" s="56"/>
      <c r="E109" s="56"/>
      <c r="F109" s="5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55"/>
      <c r="C110" s="56"/>
      <c r="D110" s="56"/>
      <c r="E110" s="56"/>
      <c r="F110" s="5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55"/>
      <c r="C111" s="56"/>
      <c r="D111" s="56"/>
      <c r="E111" s="56"/>
      <c r="F111" s="5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55"/>
      <c r="C112" s="56"/>
      <c r="D112" s="56"/>
      <c r="E112" s="56"/>
      <c r="F112" s="5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55"/>
      <c r="C113" s="56"/>
      <c r="D113" s="56"/>
      <c r="E113" s="56"/>
      <c r="F113" s="5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55"/>
      <c r="C114" s="56"/>
      <c r="D114" s="56"/>
      <c r="E114" s="56"/>
      <c r="F114" s="5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55"/>
      <c r="C115" s="56"/>
      <c r="D115" s="56"/>
      <c r="E115" s="56"/>
      <c r="F115" s="5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55"/>
      <c r="C116" s="56"/>
      <c r="D116" s="56"/>
      <c r="E116" s="56"/>
      <c r="F116" s="5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55"/>
      <c r="C117" s="56"/>
      <c r="D117" s="56"/>
      <c r="E117" s="56"/>
      <c r="F117" s="5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55"/>
      <c r="C118" s="56"/>
      <c r="D118" s="56"/>
      <c r="E118" s="56"/>
      <c r="F118" s="5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55"/>
      <c r="C119" s="56"/>
      <c r="D119" s="56"/>
      <c r="E119" s="56"/>
      <c r="F119" s="5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55"/>
      <c r="C120" s="56"/>
      <c r="D120" s="56"/>
      <c r="E120" s="56"/>
      <c r="F120" s="5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55"/>
      <c r="C121" s="56"/>
      <c r="D121" s="56"/>
      <c r="E121" s="56"/>
      <c r="F121" s="5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55"/>
      <c r="C122" s="56"/>
      <c r="D122" s="56"/>
      <c r="E122" s="56"/>
      <c r="F122" s="5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55"/>
      <c r="C123" s="56"/>
      <c r="D123" s="56"/>
      <c r="E123" s="56"/>
      <c r="F123" s="5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55"/>
      <c r="C124" s="56"/>
      <c r="D124" s="56"/>
      <c r="E124" s="56"/>
      <c r="F124" s="5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55"/>
      <c r="C125" s="56"/>
      <c r="D125" s="56"/>
      <c r="E125" s="56"/>
      <c r="F125" s="5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55"/>
      <c r="C126" s="56"/>
      <c r="D126" s="56"/>
      <c r="E126" s="56"/>
      <c r="F126" s="5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55"/>
      <c r="C127" s="56"/>
      <c r="D127" s="56"/>
      <c r="E127" s="56"/>
      <c r="F127" s="5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55"/>
      <c r="C128" s="56"/>
      <c r="D128" s="56"/>
      <c r="E128" s="56"/>
      <c r="F128" s="5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55"/>
      <c r="C129" s="56"/>
      <c r="D129" s="56"/>
      <c r="E129" s="56"/>
      <c r="F129" s="5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55"/>
      <c r="C130" s="56"/>
      <c r="D130" s="56"/>
      <c r="E130" s="56"/>
      <c r="F130" s="5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55"/>
      <c r="C131" s="56"/>
      <c r="D131" s="56"/>
      <c r="E131" s="56"/>
      <c r="F131" s="5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55"/>
      <c r="C132" s="56"/>
      <c r="D132" s="56"/>
      <c r="E132" s="56"/>
      <c r="F132" s="5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55"/>
      <c r="C133" s="56"/>
      <c r="D133" s="56"/>
      <c r="E133" s="56"/>
      <c r="F133" s="5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55"/>
      <c r="C134" s="56"/>
      <c r="D134" s="56"/>
      <c r="E134" s="56"/>
      <c r="F134" s="5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55"/>
      <c r="C135" s="56"/>
      <c r="D135" s="56"/>
      <c r="E135" s="56"/>
      <c r="F135" s="5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55"/>
      <c r="C136" s="56"/>
      <c r="D136" s="56"/>
      <c r="E136" s="56"/>
      <c r="F136" s="5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55"/>
      <c r="C137" s="56"/>
      <c r="D137" s="56"/>
      <c r="E137" s="56"/>
      <c r="F137" s="56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55"/>
      <c r="C138" s="56"/>
      <c r="D138" s="56"/>
      <c r="E138" s="56"/>
      <c r="F138" s="56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55"/>
      <c r="C139" s="56"/>
      <c r="D139" s="56"/>
      <c r="E139" s="56"/>
      <c r="F139" s="5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55"/>
      <c r="C140" s="56"/>
      <c r="D140" s="56"/>
      <c r="E140" s="56"/>
      <c r="F140" s="5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55"/>
      <c r="C141" s="56"/>
      <c r="D141" s="56"/>
      <c r="E141" s="56"/>
      <c r="F141" s="5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55"/>
      <c r="C142" s="56"/>
      <c r="D142" s="56"/>
      <c r="E142" s="56"/>
      <c r="F142" s="56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55"/>
      <c r="C143" s="56"/>
      <c r="D143" s="56"/>
      <c r="E143" s="56"/>
      <c r="F143" s="56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55"/>
      <c r="C144" s="56"/>
      <c r="D144" s="56"/>
      <c r="E144" s="56"/>
      <c r="F144" s="56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55"/>
      <c r="C145" s="56"/>
      <c r="D145" s="56"/>
      <c r="E145" s="56"/>
      <c r="F145" s="56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55"/>
      <c r="C146" s="56"/>
      <c r="D146" s="56"/>
      <c r="E146" s="56"/>
      <c r="F146" s="56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55"/>
      <c r="C147" s="56"/>
      <c r="D147" s="56"/>
      <c r="E147" s="56"/>
      <c r="F147" s="56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55"/>
      <c r="C148" s="56"/>
      <c r="D148" s="56"/>
      <c r="E148" s="56"/>
      <c r="F148" s="56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55"/>
      <c r="C149" s="56"/>
      <c r="D149" s="56"/>
      <c r="E149" s="56"/>
      <c r="F149" s="56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55"/>
      <c r="C150" s="56"/>
      <c r="D150" s="56"/>
      <c r="E150" s="56"/>
      <c r="F150" s="56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55"/>
      <c r="C151" s="56"/>
      <c r="D151" s="56"/>
      <c r="E151" s="56"/>
      <c r="F151" s="56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55"/>
      <c r="C152" s="56"/>
      <c r="D152" s="56"/>
      <c r="E152" s="56"/>
      <c r="F152" s="5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55"/>
      <c r="C153" s="56"/>
      <c r="D153" s="56"/>
      <c r="E153" s="56"/>
      <c r="F153" s="56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55"/>
      <c r="C154" s="56"/>
      <c r="D154" s="56"/>
      <c r="E154" s="56"/>
      <c r="F154" s="56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55"/>
      <c r="C155" s="56"/>
      <c r="D155" s="56"/>
      <c r="E155" s="56"/>
      <c r="F155" s="56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55"/>
      <c r="C156" s="56"/>
      <c r="D156" s="56"/>
      <c r="E156" s="56"/>
      <c r="F156" s="56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55"/>
      <c r="C157" s="56"/>
      <c r="D157" s="56"/>
      <c r="E157" s="56"/>
      <c r="F157" s="56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55"/>
      <c r="C158" s="56"/>
      <c r="D158" s="56"/>
      <c r="E158" s="56"/>
      <c r="F158" s="56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55"/>
      <c r="C159" s="56"/>
      <c r="D159" s="56"/>
      <c r="E159" s="56"/>
      <c r="F159" s="56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55"/>
      <c r="C160" s="56"/>
      <c r="D160" s="56"/>
      <c r="E160" s="56"/>
      <c r="F160" s="5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55"/>
      <c r="C161" s="56"/>
      <c r="D161" s="56"/>
      <c r="E161" s="56"/>
      <c r="F161" s="5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55"/>
      <c r="C162" s="56"/>
      <c r="D162" s="56"/>
      <c r="E162" s="56"/>
      <c r="F162" s="56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55"/>
      <c r="C163" s="56"/>
      <c r="D163" s="56"/>
      <c r="E163" s="56"/>
      <c r="F163" s="56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55"/>
      <c r="C164" s="56"/>
      <c r="D164" s="56"/>
      <c r="E164" s="56"/>
      <c r="F164" s="5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55"/>
      <c r="C165" s="56"/>
      <c r="D165" s="56"/>
      <c r="E165" s="56"/>
      <c r="F165" s="56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55"/>
      <c r="C166" s="56"/>
      <c r="D166" s="56"/>
      <c r="E166" s="56"/>
      <c r="F166" s="56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55"/>
      <c r="C167" s="56"/>
      <c r="D167" s="56"/>
      <c r="E167" s="56"/>
      <c r="F167" s="56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55"/>
      <c r="C168" s="56"/>
      <c r="D168" s="56"/>
      <c r="E168" s="56"/>
      <c r="F168" s="56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55"/>
      <c r="C169" s="56"/>
      <c r="D169" s="56"/>
      <c r="E169" s="56"/>
      <c r="F169" s="56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55"/>
      <c r="C170" s="56"/>
      <c r="D170" s="56"/>
      <c r="E170" s="56"/>
      <c r="F170" s="56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55"/>
      <c r="C171" s="56"/>
      <c r="D171" s="56"/>
      <c r="E171" s="56"/>
      <c r="F171" s="5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55"/>
      <c r="C172" s="56"/>
      <c r="D172" s="56"/>
      <c r="E172" s="56"/>
      <c r="F172" s="56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55"/>
      <c r="C173" s="56"/>
      <c r="D173" s="56"/>
      <c r="E173" s="56"/>
      <c r="F173" s="5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55"/>
      <c r="C174" s="56"/>
      <c r="D174" s="56"/>
      <c r="E174" s="56"/>
      <c r="F174" s="56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55"/>
      <c r="C175" s="56"/>
      <c r="D175" s="56"/>
      <c r="E175" s="56"/>
      <c r="F175" s="5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55"/>
      <c r="C176" s="56"/>
      <c r="D176" s="56"/>
      <c r="E176" s="56"/>
      <c r="F176" s="5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55"/>
      <c r="C177" s="56"/>
      <c r="D177" s="56"/>
      <c r="E177" s="56"/>
      <c r="F177" s="5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55"/>
      <c r="C178" s="56"/>
      <c r="D178" s="56"/>
      <c r="E178" s="56"/>
      <c r="F178" s="56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55"/>
      <c r="C179" s="56"/>
      <c r="D179" s="56"/>
      <c r="E179" s="56"/>
      <c r="F179" s="5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55"/>
      <c r="C180" s="56"/>
      <c r="D180" s="56"/>
      <c r="E180" s="56"/>
      <c r="F180" s="5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55"/>
      <c r="C181" s="56"/>
      <c r="D181" s="56"/>
      <c r="E181" s="56"/>
      <c r="F181" s="5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55"/>
      <c r="C182" s="56"/>
      <c r="D182" s="56"/>
      <c r="E182" s="56"/>
      <c r="F182" s="5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55"/>
      <c r="C183" s="56"/>
      <c r="D183" s="56"/>
      <c r="E183" s="56"/>
      <c r="F183" s="5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55"/>
      <c r="C184" s="56"/>
      <c r="D184" s="56"/>
      <c r="E184" s="56"/>
      <c r="F184" s="5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55"/>
      <c r="C185" s="56"/>
      <c r="D185" s="56"/>
      <c r="E185" s="56"/>
      <c r="F185" s="5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55"/>
      <c r="C186" s="56"/>
      <c r="D186" s="56"/>
      <c r="E186" s="56"/>
      <c r="F186" s="5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55"/>
      <c r="C187" s="56"/>
      <c r="D187" s="56"/>
      <c r="E187" s="56"/>
      <c r="F187" s="5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55"/>
      <c r="C188" s="56"/>
      <c r="D188" s="56"/>
      <c r="E188" s="56"/>
      <c r="F188" s="5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55"/>
      <c r="C189" s="56"/>
      <c r="D189" s="56"/>
      <c r="E189" s="56"/>
      <c r="F189" s="5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55"/>
      <c r="C190" s="56"/>
      <c r="D190" s="56"/>
      <c r="E190" s="56"/>
      <c r="F190" s="5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55"/>
      <c r="C191" s="56"/>
      <c r="D191" s="56"/>
      <c r="E191" s="56"/>
      <c r="F191" s="5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55"/>
      <c r="C192" s="56"/>
      <c r="D192" s="56"/>
      <c r="E192" s="56"/>
      <c r="F192" s="5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55"/>
      <c r="C193" s="56"/>
      <c r="D193" s="56"/>
      <c r="E193" s="56"/>
      <c r="F193" s="5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55"/>
      <c r="C194" s="56"/>
      <c r="D194" s="56"/>
      <c r="E194" s="56"/>
      <c r="F194" s="5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55"/>
      <c r="C195" s="56"/>
      <c r="D195" s="56"/>
      <c r="E195" s="56"/>
      <c r="F195" s="5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55"/>
      <c r="C196" s="56"/>
      <c r="D196" s="56"/>
      <c r="E196" s="56"/>
      <c r="F196" s="5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55"/>
      <c r="C197" s="56"/>
      <c r="D197" s="56"/>
      <c r="E197" s="56"/>
      <c r="F197" s="5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55"/>
      <c r="C198" s="56"/>
      <c r="D198" s="56"/>
      <c r="E198" s="56"/>
      <c r="F198" s="56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55"/>
      <c r="C199" s="56"/>
      <c r="D199" s="56"/>
      <c r="E199" s="56"/>
      <c r="F199" s="5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55"/>
      <c r="C200" s="56"/>
      <c r="D200" s="56"/>
      <c r="E200" s="56"/>
      <c r="F200" s="5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55"/>
      <c r="C201" s="56"/>
      <c r="D201" s="56"/>
      <c r="E201" s="56"/>
      <c r="F201" s="56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55"/>
      <c r="C202" s="56"/>
      <c r="D202" s="56"/>
      <c r="E202" s="56"/>
      <c r="F202" s="5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55"/>
      <c r="C203" s="56"/>
      <c r="D203" s="56"/>
      <c r="E203" s="56"/>
      <c r="F203" s="5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55"/>
      <c r="C204" s="56"/>
      <c r="D204" s="56"/>
      <c r="E204" s="56"/>
      <c r="F204" s="56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55"/>
      <c r="C205" s="56"/>
      <c r="D205" s="56"/>
      <c r="E205" s="56"/>
      <c r="F205" s="5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55"/>
      <c r="C206" s="56"/>
      <c r="D206" s="56"/>
      <c r="E206" s="56"/>
      <c r="F206" s="56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55"/>
      <c r="C207" s="56"/>
      <c r="D207" s="56"/>
      <c r="E207" s="56"/>
      <c r="F207" s="56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55"/>
      <c r="C208" s="56"/>
      <c r="D208" s="56"/>
      <c r="E208" s="56"/>
      <c r="F208" s="56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55"/>
      <c r="C209" s="56"/>
      <c r="D209" s="56"/>
      <c r="E209" s="56"/>
      <c r="F209" s="56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55"/>
      <c r="C210" s="56"/>
      <c r="D210" s="56"/>
      <c r="E210" s="56"/>
      <c r="F210" s="56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55"/>
      <c r="C211" s="56"/>
      <c r="D211" s="56"/>
      <c r="E211" s="56"/>
      <c r="F211" s="56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55"/>
      <c r="C212" s="56"/>
      <c r="D212" s="56"/>
      <c r="E212" s="56"/>
      <c r="F212" s="5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55"/>
      <c r="C213" s="56"/>
      <c r="D213" s="56"/>
      <c r="E213" s="56"/>
      <c r="F213" s="5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55"/>
      <c r="C214" s="56"/>
      <c r="D214" s="56"/>
      <c r="E214" s="56"/>
      <c r="F214" s="5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55"/>
      <c r="C215" s="56"/>
      <c r="D215" s="56"/>
      <c r="E215" s="56"/>
      <c r="F215" s="5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55"/>
      <c r="C216" s="56"/>
      <c r="D216" s="56"/>
      <c r="E216" s="56"/>
      <c r="F216" s="5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55"/>
      <c r="C217" s="56"/>
      <c r="D217" s="56"/>
      <c r="E217" s="56"/>
      <c r="F217" s="5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55"/>
      <c r="C218" s="56"/>
      <c r="D218" s="56"/>
      <c r="E218" s="56"/>
      <c r="F218" s="5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55"/>
      <c r="C219" s="56"/>
      <c r="D219" s="56"/>
      <c r="E219" s="56"/>
      <c r="F219" s="5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55"/>
      <c r="C220" s="56"/>
      <c r="D220" s="56"/>
      <c r="E220" s="56"/>
      <c r="F220" s="5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55"/>
      <c r="C221" s="56"/>
      <c r="D221" s="56"/>
      <c r="E221" s="56"/>
      <c r="F221" s="5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55"/>
      <c r="C222" s="56"/>
      <c r="D222" s="56"/>
      <c r="E222" s="56"/>
      <c r="F222" s="5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55"/>
      <c r="C223" s="56"/>
      <c r="D223" s="56"/>
      <c r="E223" s="56"/>
      <c r="F223" s="5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6">
    <mergeCell ref="B3:C3"/>
    <mergeCell ref="D3:F3"/>
    <mergeCell ref="B4:C4"/>
    <mergeCell ref="D4:F4"/>
    <mergeCell ref="B5:C5"/>
    <mergeCell ref="D5:F5"/>
  </mergeCells>
  <hyperlinks>
    <hyperlink ref="D10" location="LAB5_BAI2!A1" display="LAB5_BAI2" xr:uid="{00000000-0004-0000-0200-000001000000}"/>
    <hyperlink ref="D11" location="LAB5_BAI3!A1" display="LAB5_BAI3" xr:uid="{00000000-0004-0000-0200-000002000000}"/>
    <hyperlink ref="D12" location="LAB5_BAI4!A1" display="LAB5_BAI4" xr:uid="{00000000-0004-0000-0200-000003000000}"/>
    <hyperlink ref="D13" location="LAB5_BAI5!A1" display="LAB5_BAI5" xr:uid="{00000000-0004-0000-0200-000004000000}"/>
    <hyperlink ref="D9" location="LAB5_BAI1!A1" display="LAB5_BAI1" xr:uid="{00000000-0004-0000-0200-000000000000}"/>
  </hyperlinks>
  <pageMargins left="0.74791666666666667" right="0.74791666666666667" top="0.98402777777777783" bottom="1.1506944444444445" header="0" footer="0"/>
  <pageSetup paperSize="9" orientation="landscape"/>
  <headerFooter>
    <oddFooter>&amp;L 02ae-BM/PM/HDCV/FSOFT v2/0&amp;CInternal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4"/>
  <sheetViews>
    <sheetView topLeftCell="A4" workbookViewId="0">
      <selection activeCell="E10" sqref="E10"/>
    </sheetView>
  </sheetViews>
  <sheetFormatPr defaultColWidth="12.6640625" defaultRowHeight="15" customHeight="1" x14ac:dyDescent="0.2"/>
  <cols>
    <col min="1" max="1" width="21.6640625" customWidth="1"/>
    <col min="2" max="2" width="20.77734375" customWidth="1"/>
    <col min="3" max="4" width="25.6640625" customWidth="1"/>
    <col min="5" max="5" width="32.44140625" customWidth="1"/>
    <col min="6" max="6" width="24.44140625" customWidth="1"/>
    <col min="7" max="7" width="9.44140625" customWidth="1"/>
    <col min="8" max="8" width="11.109375" customWidth="1"/>
    <col min="9" max="9" width="9.6640625" customWidth="1"/>
    <col min="10" max="10" width="9.109375" customWidth="1"/>
    <col min="11" max="12" width="8.44140625" customWidth="1"/>
    <col min="13" max="13" width="20.88671875" customWidth="1"/>
  </cols>
  <sheetData>
    <row r="1" spans="1:27" ht="14.4" thickBot="1" x14ac:dyDescent="0.3">
      <c r="A1" s="7"/>
      <c r="B1" s="7"/>
      <c r="C1" s="7"/>
      <c r="D1" s="114"/>
      <c r="E1" s="7"/>
      <c r="F1" s="7"/>
      <c r="G1" s="7"/>
      <c r="H1" s="88"/>
      <c r="I1" s="88"/>
      <c r="J1" s="88"/>
      <c r="K1" s="88"/>
      <c r="L1" s="89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 spans="1:27" ht="13.8" x14ac:dyDescent="0.25">
      <c r="A2" s="90" t="s">
        <v>41</v>
      </c>
      <c r="B2" s="141" t="s">
        <v>72</v>
      </c>
      <c r="C2" s="142"/>
      <c r="D2" s="142"/>
      <c r="E2" s="142"/>
      <c r="F2" s="143"/>
      <c r="G2" s="91"/>
      <c r="H2" s="88"/>
      <c r="I2" s="88"/>
      <c r="J2" s="88"/>
      <c r="K2" s="88"/>
      <c r="L2" s="89"/>
      <c r="M2" s="92" t="s">
        <v>24</v>
      </c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3.8" x14ac:dyDescent="0.25">
      <c r="A3" s="93" t="s">
        <v>42</v>
      </c>
      <c r="B3" s="144"/>
      <c r="C3" s="118"/>
      <c r="D3" s="138"/>
      <c r="E3" s="118"/>
      <c r="F3" s="119"/>
      <c r="G3" s="94"/>
      <c r="H3" s="88"/>
      <c r="I3" s="88"/>
      <c r="J3" s="88"/>
      <c r="K3" s="88"/>
      <c r="L3" s="89"/>
      <c r="M3" s="92" t="s">
        <v>25</v>
      </c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3.8" x14ac:dyDescent="0.25">
      <c r="A4" s="93" t="s">
        <v>43</v>
      </c>
      <c r="B4" s="144"/>
      <c r="C4" s="118"/>
      <c r="D4" s="138"/>
      <c r="E4" s="118"/>
      <c r="F4" s="119"/>
      <c r="G4" s="94"/>
      <c r="H4" s="88"/>
      <c r="I4" s="88"/>
      <c r="J4" s="88"/>
      <c r="K4" s="88"/>
      <c r="L4" s="89"/>
      <c r="M4" s="92" t="s">
        <v>44</v>
      </c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spans="1:27" ht="39.6" x14ac:dyDescent="0.25">
      <c r="A5" s="95" t="s">
        <v>28</v>
      </c>
      <c r="B5" s="96" t="s">
        <v>24</v>
      </c>
      <c r="C5" s="96" t="s">
        <v>25</v>
      </c>
      <c r="D5" s="96"/>
      <c r="E5" s="96" t="s">
        <v>26</v>
      </c>
      <c r="F5" s="96" t="s">
        <v>18</v>
      </c>
      <c r="G5" s="97" t="s">
        <v>45</v>
      </c>
      <c r="H5" s="88"/>
      <c r="I5" s="88"/>
      <c r="J5" s="88"/>
      <c r="K5" s="88"/>
      <c r="L5" s="89"/>
      <c r="M5" s="92" t="s">
        <v>18</v>
      </c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spans="1:27" thickBot="1" x14ac:dyDescent="0.35">
      <c r="A6" s="98">
        <f>AVERAGE(L:L)</f>
        <v>1</v>
      </c>
      <c r="B6" s="99">
        <f>COUNTIF(G10:G995,"Pass")</f>
        <v>9</v>
      </c>
      <c r="C6" s="99">
        <f>COUNTIF(G10:G995,"Fail")</f>
        <v>0</v>
      </c>
      <c r="D6" s="99"/>
      <c r="E6" s="99">
        <f>G6-F6-C6-B6</f>
        <v>0</v>
      </c>
      <c r="F6" s="99">
        <f>COUNTIF(G10:G995,"N/A")</f>
        <v>0</v>
      </c>
      <c r="G6" s="100">
        <f>COUNTA(A10:A995)</f>
        <v>9</v>
      </c>
      <c r="H6" s="88"/>
      <c r="I6" s="88"/>
      <c r="J6" s="88"/>
      <c r="K6" s="88"/>
      <c r="L6" s="89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 spans="1:27" ht="13.8" x14ac:dyDescent="0.25">
      <c r="A7" s="101"/>
      <c r="B7" s="101"/>
      <c r="C7" s="101"/>
      <c r="D7" s="115"/>
      <c r="E7" s="101"/>
      <c r="F7" s="101"/>
      <c r="G7" s="53"/>
      <c r="H7" s="88"/>
      <c r="I7" s="88"/>
      <c r="J7" s="88"/>
      <c r="K7" s="88"/>
      <c r="L7" s="89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</row>
    <row r="8" spans="1:27" ht="6.75" customHeight="1" x14ac:dyDescent="0.25">
      <c r="H8" s="88"/>
      <c r="I8" s="88"/>
      <c r="J8" s="88"/>
      <c r="K8" s="88"/>
      <c r="L8" s="89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</row>
    <row r="9" spans="1:27" ht="26.4" x14ac:dyDescent="0.2">
      <c r="A9" s="102" t="s">
        <v>46</v>
      </c>
      <c r="B9" s="102" t="s">
        <v>47</v>
      </c>
      <c r="C9" s="102" t="s">
        <v>48</v>
      </c>
      <c r="D9" s="116" t="s">
        <v>108</v>
      </c>
      <c r="E9" s="102" t="s">
        <v>49</v>
      </c>
      <c r="F9" s="116" t="s">
        <v>109</v>
      </c>
      <c r="G9" s="102" t="s">
        <v>51</v>
      </c>
      <c r="H9" s="102" t="s">
        <v>52</v>
      </c>
      <c r="I9" s="102" t="s">
        <v>53</v>
      </c>
      <c r="J9" s="103" t="s">
        <v>54</v>
      </c>
      <c r="K9" s="104" t="s">
        <v>55</v>
      </c>
      <c r="L9" s="105" t="s">
        <v>56</v>
      </c>
      <c r="M9" s="102" t="s">
        <v>57</v>
      </c>
    </row>
    <row r="10" spans="1:27" ht="39.6" x14ac:dyDescent="0.25">
      <c r="A10" s="106" t="str">
        <f t="shared" ref="A10:A18" si="0">IF(OR(B10&lt;&gt;"",E10&lt;&gt;""),"["&amp;TEXT($B$2,"##")&amp;"-"&amp;TEXT(ROW()-9,"##")&amp;"]","")</f>
        <v>[LAB5_BAI1-1]</v>
      </c>
      <c r="B10" s="107" t="s">
        <v>77</v>
      </c>
      <c r="C10" s="106" t="s">
        <v>78</v>
      </c>
      <c r="D10" s="106"/>
      <c r="E10" s="107" t="s">
        <v>80</v>
      </c>
      <c r="F10" s="112" t="s">
        <v>110</v>
      </c>
      <c r="G10" s="107" t="s">
        <v>24</v>
      </c>
      <c r="H10" s="10" t="s">
        <v>71</v>
      </c>
      <c r="I10" s="9" t="s">
        <v>70</v>
      </c>
      <c r="J10" s="107">
        <v>15</v>
      </c>
      <c r="K10" s="107">
        <v>15</v>
      </c>
      <c r="L10" s="109">
        <f>K10/J10</f>
        <v>1</v>
      </c>
      <c r="M10" s="107" t="s">
        <v>79</v>
      </c>
    </row>
    <row r="11" spans="1:27" ht="13.8" x14ac:dyDescent="0.25">
      <c r="A11" s="106" t="str">
        <f t="shared" si="0"/>
        <v>[LAB5_BAI1-2]</v>
      </c>
      <c r="B11" s="107" t="s">
        <v>82</v>
      </c>
      <c r="C11" s="106" t="s">
        <v>83</v>
      </c>
      <c r="D11" s="113" t="s">
        <v>111</v>
      </c>
      <c r="E11" s="107" t="s">
        <v>81</v>
      </c>
      <c r="F11" s="112" t="s">
        <v>119</v>
      </c>
      <c r="G11" s="107" t="s">
        <v>24</v>
      </c>
      <c r="H11" s="10" t="s">
        <v>71</v>
      </c>
      <c r="I11" s="9" t="s">
        <v>70</v>
      </c>
      <c r="J11" s="107">
        <v>15</v>
      </c>
      <c r="K11" s="107">
        <v>15</v>
      </c>
      <c r="L11" s="109">
        <f t="shared" ref="L10:L11" si="1">K11/J11</f>
        <v>1</v>
      </c>
      <c r="M11" s="107" t="s">
        <v>84</v>
      </c>
    </row>
    <row r="12" spans="1:27" ht="13.8" x14ac:dyDescent="0.25">
      <c r="A12" s="106" t="str">
        <f t="shared" si="0"/>
        <v>[LAB5_BAI1-3]</v>
      </c>
      <c r="B12" s="112" t="s">
        <v>85</v>
      </c>
      <c r="C12" s="113" t="s">
        <v>86</v>
      </c>
      <c r="D12" s="113" t="s">
        <v>112</v>
      </c>
      <c r="E12" s="112" t="s">
        <v>81</v>
      </c>
      <c r="F12" s="112" t="s">
        <v>119</v>
      </c>
      <c r="G12" s="107" t="s">
        <v>24</v>
      </c>
      <c r="H12" s="10" t="s">
        <v>71</v>
      </c>
      <c r="I12" s="9" t="s">
        <v>70</v>
      </c>
      <c r="J12" s="107">
        <v>15</v>
      </c>
      <c r="K12" s="107">
        <v>15</v>
      </c>
      <c r="L12" s="109"/>
      <c r="M12" s="112" t="s">
        <v>87</v>
      </c>
    </row>
    <row r="13" spans="1:27" ht="13.8" x14ac:dyDescent="0.25">
      <c r="A13" s="106" t="str">
        <f t="shared" si="0"/>
        <v>[LAB5_BAI1-4]</v>
      </c>
      <c r="B13" s="112" t="s">
        <v>88</v>
      </c>
      <c r="C13" s="113" t="s">
        <v>89</v>
      </c>
      <c r="D13" s="113" t="s">
        <v>113</v>
      </c>
      <c r="E13" s="112" t="s">
        <v>90</v>
      </c>
      <c r="F13" s="112" t="s">
        <v>120</v>
      </c>
      <c r="G13" s="107" t="s">
        <v>24</v>
      </c>
      <c r="H13" s="10" t="s">
        <v>71</v>
      </c>
      <c r="I13" s="9" t="s">
        <v>70</v>
      </c>
      <c r="J13" s="107">
        <v>15</v>
      </c>
      <c r="K13" s="107">
        <v>15</v>
      </c>
      <c r="L13" s="109">
        <f t="shared" ref="L13:L16" si="2">K13/J13</f>
        <v>1</v>
      </c>
      <c r="M13" s="107"/>
    </row>
    <row r="14" spans="1:27" ht="26.4" x14ac:dyDescent="0.25">
      <c r="A14" s="106" t="str">
        <f t="shared" si="0"/>
        <v>[LAB5_BAI1-5]</v>
      </c>
      <c r="B14" s="112" t="s">
        <v>91</v>
      </c>
      <c r="C14" s="113" t="s">
        <v>92</v>
      </c>
      <c r="D14" s="113" t="s">
        <v>114</v>
      </c>
      <c r="E14" s="112" t="s">
        <v>93</v>
      </c>
      <c r="F14" s="112" t="s">
        <v>93</v>
      </c>
      <c r="G14" s="107" t="s">
        <v>24</v>
      </c>
      <c r="H14" s="10" t="s">
        <v>71</v>
      </c>
      <c r="I14" s="9" t="s">
        <v>70</v>
      </c>
      <c r="J14" s="107">
        <v>15</v>
      </c>
      <c r="K14" s="107">
        <v>15</v>
      </c>
      <c r="L14" s="109">
        <f t="shared" si="2"/>
        <v>1</v>
      </c>
      <c r="M14" s="112" t="s">
        <v>94</v>
      </c>
    </row>
    <row r="15" spans="1:27" ht="26.4" x14ac:dyDescent="0.25">
      <c r="A15" s="106" t="str">
        <f t="shared" si="0"/>
        <v>[LAB5_BAI1-6]</v>
      </c>
      <c r="B15" s="112" t="s">
        <v>95</v>
      </c>
      <c r="C15" s="113" t="s">
        <v>96</v>
      </c>
      <c r="D15" s="113" t="s">
        <v>115</v>
      </c>
      <c r="E15" s="112" t="s">
        <v>97</v>
      </c>
      <c r="F15" s="112" t="s">
        <v>121</v>
      </c>
      <c r="G15" s="107" t="s">
        <v>24</v>
      </c>
      <c r="H15" s="10" t="s">
        <v>71</v>
      </c>
      <c r="I15" s="9" t="s">
        <v>70</v>
      </c>
      <c r="J15" s="107">
        <v>15</v>
      </c>
      <c r="K15" s="107">
        <v>15</v>
      </c>
      <c r="L15" s="109">
        <f t="shared" si="2"/>
        <v>1</v>
      </c>
      <c r="M15" s="112" t="s">
        <v>98</v>
      </c>
    </row>
    <row r="16" spans="1:27" ht="26.4" x14ac:dyDescent="0.25">
      <c r="A16" s="106" t="str">
        <f t="shared" si="0"/>
        <v>[LAB5_BAI1-7]</v>
      </c>
      <c r="B16" s="112" t="s">
        <v>99</v>
      </c>
      <c r="C16" s="113" t="s">
        <v>100</v>
      </c>
      <c r="D16" s="113" t="s">
        <v>116</v>
      </c>
      <c r="E16" s="112" t="s">
        <v>81</v>
      </c>
      <c r="F16" s="112" t="s">
        <v>119</v>
      </c>
      <c r="G16" s="107" t="s">
        <v>24</v>
      </c>
      <c r="H16" s="10" t="s">
        <v>71</v>
      </c>
      <c r="I16" s="9" t="s">
        <v>70</v>
      </c>
      <c r="J16" s="107">
        <v>15</v>
      </c>
      <c r="K16" s="107">
        <v>15</v>
      </c>
      <c r="L16" s="109">
        <f t="shared" si="2"/>
        <v>1</v>
      </c>
      <c r="M16" s="112" t="s">
        <v>101</v>
      </c>
    </row>
    <row r="17" spans="1:13" ht="66" x14ac:dyDescent="0.25">
      <c r="A17" s="106" t="str">
        <f t="shared" si="0"/>
        <v>[LAB5_BAI1-8]</v>
      </c>
      <c r="B17" s="112" t="s">
        <v>102</v>
      </c>
      <c r="C17" s="113" t="s">
        <v>103</v>
      </c>
      <c r="D17" s="113" t="s">
        <v>117</v>
      </c>
      <c r="E17" s="112" t="s">
        <v>104</v>
      </c>
      <c r="F17" s="112" t="s">
        <v>122</v>
      </c>
      <c r="G17" s="107" t="s">
        <v>24</v>
      </c>
      <c r="H17" s="10" t="s">
        <v>71</v>
      </c>
      <c r="I17" s="9" t="s">
        <v>70</v>
      </c>
      <c r="J17" s="107">
        <v>15</v>
      </c>
      <c r="K17" s="107">
        <v>15</v>
      </c>
      <c r="L17" s="109">
        <f t="shared" ref="L17:L18" si="3">K17/J17</f>
        <v>1</v>
      </c>
      <c r="M17" s="112" t="s">
        <v>101</v>
      </c>
    </row>
    <row r="18" spans="1:13" ht="26.4" x14ac:dyDescent="0.25">
      <c r="A18" s="106" t="str">
        <f t="shared" si="0"/>
        <v>[LAB5_BAI1-9]</v>
      </c>
      <c r="B18" s="112" t="s">
        <v>105</v>
      </c>
      <c r="C18" s="113" t="s">
        <v>106</v>
      </c>
      <c r="D18" s="113" t="s">
        <v>118</v>
      </c>
      <c r="E18" s="112" t="s">
        <v>107</v>
      </c>
      <c r="F18" s="112" t="s">
        <v>123</v>
      </c>
      <c r="G18" s="107" t="s">
        <v>24</v>
      </c>
      <c r="H18" s="10" t="s">
        <v>71</v>
      </c>
      <c r="I18" s="9" t="s">
        <v>70</v>
      </c>
      <c r="J18" s="107">
        <v>15</v>
      </c>
      <c r="K18" s="107">
        <v>15</v>
      </c>
      <c r="L18" s="109">
        <f t="shared" si="3"/>
        <v>1</v>
      </c>
      <c r="M18" s="112" t="s">
        <v>101</v>
      </c>
    </row>
    <row r="19" spans="1:13" ht="14.4" x14ac:dyDescent="0.3">
      <c r="L19" s="110"/>
    </row>
    <row r="20" spans="1:13" ht="14.4" x14ac:dyDescent="0.3">
      <c r="L20" s="110"/>
    </row>
    <row r="21" spans="1:13" ht="14.4" x14ac:dyDescent="0.3">
      <c r="L21" s="110"/>
    </row>
    <row r="22" spans="1:13" ht="14.4" x14ac:dyDescent="0.3">
      <c r="L22" s="110"/>
    </row>
    <row r="23" spans="1:13" ht="14.4" x14ac:dyDescent="0.3">
      <c r="L23" s="110"/>
    </row>
    <row r="24" spans="1:13" ht="15.75" customHeight="1" x14ac:dyDescent="0.3">
      <c r="L24" s="110"/>
    </row>
    <row r="25" spans="1:13" ht="15.75" customHeight="1" x14ac:dyDescent="0.3">
      <c r="L25" s="110"/>
    </row>
    <row r="26" spans="1:13" ht="15.75" customHeight="1" x14ac:dyDescent="0.3">
      <c r="L26" s="110"/>
    </row>
    <row r="27" spans="1:13" ht="15.75" customHeight="1" x14ac:dyDescent="0.3">
      <c r="L27" s="110"/>
    </row>
    <row r="28" spans="1:13" ht="15.75" customHeight="1" x14ac:dyDescent="0.3">
      <c r="L28" s="110"/>
    </row>
    <row r="29" spans="1:13" ht="15.75" customHeight="1" x14ac:dyDescent="0.3">
      <c r="L29" s="110"/>
    </row>
    <row r="30" spans="1:13" ht="15.75" customHeight="1" x14ac:dyDescent="0.3">
      <c r="L30" s="110"/>
    </row>
    <row r="31" spans="1:13" ht="15.75" customHeight="1" x14ac:dyDescent="0.3">
      <c r="L31" s="110"/>
    </row>
    <row r="32" spans="1:13" ht="15.75" customHeight="1" x14ac:dyDescent="0.3">
      <c r="L32" s="110"/>
    </row>
    <row r="33" spans="12:12" ht="15.75" customHeight="1" x14ac:dyDescent="0.3">
      <c r="L33" s="110"/>
    </row>
    <row r="34" spans="12:12" ht="15.75" customHeight="1" x14ac:dyDescent="0.3">
      <c r="L34" s="110"/>
    </row>
    <row r="35" spans="12:12" ht="15.75" customHeight="1" x14ac:dyDescent="0.3">
      <c r="L35" s="110"/>
    </row>
    <row r="36" spans="12:12" ht="15.75" customHeight="1" x14ac:dyDescent="0.3">
      <c r="L36" s="110"/>
    </row>
    <row r="37" spans="12:12" ht="15.75" customHeight="1" x14ac:dyDescent="0.3">
      <c r="L37" s="110"/>
    </row>
    <row r="38" spans="12:12" ht="15.75" customHeight="1" x14ac:dyDescent="0.3">
      <c r="L38" s="110"/>
    </row>
    <row r="39" spans="12:12" ht="15.75" customHeight="1" x14ac:dyDescent="0.3">
      <c r="L39" s="110"/>
    </row>
    <row r="40" spans="12:12" ht="15.75" customHeight="1" x14ac:dyDescent="0.3">
      <c r="L40" s="110"/>
    </row>
    <row r="41" spans="12:12" ht="15.75" customHeight="1" x14ac:dyDescent="0.3">
      <c r="L41" s="110"/>
    </row>
    <row r="42" spans="12:12" ht="15.75" customHeight="1" x14ac:dyDescent="0.3">
      <c r="L42" s="110"/>
    </row>
    <row r="43" spans="12:12" ht="15.75" customHeight="1" x14ac:dyDescent="0.3">
      <c r="L43" s="110"/>
    </row>
    <row r="44" spans="12:12" ht="15.75" customHeight="1" x14ac:dyDescent="0.3">
      <c r="L44" s="110"/>
    </row>
    <row r="45" spans="12:12" ht="15.75" customHeight="1" x14ac:dyDescent="0.3">
      <c r="L45" s="110"/>
    </row>
    <row r="46" spans="12:12" ht="15.75" customHeight="1" x14ac:dyDescent="0.3">
      <c r="L46" s="110"/>
    </row>
    <row r="47" spans="12:12" ht="15.75" customHeight="1" x14ac:dyDescent="0.3">
      <c r="L47" s="110"/>
    </row>
    <row r="48" spans="12:12" ht="15.75" customHeight="1" x14ac:dyDescent="0.3">
      <c r="L48" s="110"/>
    </row>
    <row r="49" spans="12:12" ht="15.75" customHeight="1" x14ac:dyDescent="0.3">
      <c r="L49" s="110"/>
    </row>
    <row r="50" spans="12:12" ht="15.75" customHeight="1" x14ac:dyDescent="0.3">
      <c r="L50" s="110"/>
    </row>
    <row r="51" spans="12:12" ht="15.75" customHeight="1" x14ac:dyDescent="0.3">
      <c r="L51" s="110"/>
    </row>
    <row r="52" spans="12:12" ht="15.75" customHeight="1" x14ac:dyDescent="0.3">
      <c r="L52" s="110"/>
    </row>
    <row r="53" spans="12:12" ht="15.75" customHeight="1" x14ac:dyDescent="0.3">
      <c r="L53" s="110"/>
    </row>
    <row r="54" spans="12:12" ht="15.75" customHeight="1" x14ac:dyDescent="0.3">
      <c r="L54" s="110"/>
    </row>
    <row r="55" spans="12:12" ht="15.75" customHeight="1" x14ac:dyDescent="0.3">
      <c r="L55" s="110"/>
    </row>
    <row r="56" spans="12:12" ht="15.75" customHeight="1" x14ac:dyDescent="0.3">
      <c r="L56" s="110"/>
    </row>
    <row r="57" spans="12:12" ht="15.75" customHeight="1" x14ac:dyDescent="0.3">
      <c r="L57" s="110"/>
    </row>
    <row r="58" spans="12:12" ht="15.75" customHeight="1" x14ac:dyDescent="0.3">
      <c r="L58" s="110"/>
    </row>
    <row r="59" spans="12:12" ht="15.75" customHeight="1" x14ac:dyDescent="0.3">
      <c r="L59" s="110"/>
    </row>
    <row r="60" spans="12:12" ht="15.75" customHeight="1" x14ac:dyDescent="0.3">
      <c r="L60" s="110"/>
    </row>
    <row r="61" spans="12:12" ht="15.75" customHeight="1" x14ac:dyDescent="0.3">
      <c r="L61" s="110"/>
    </row>
    <row r="62" spans="12:12" ht="15.75" customHeight="1" x14ac:dyDescent="0.3">
      <c r="L62" s="110"/>
    </row>
    <row r="63" spans="12:12" ht="15.75" customHeight="1" x14ac:dyDescent="0.3">
      <c r="L63" s="110"/>
    </row>
    <row r="64" spans="12:12" ht="15.75" customHeight="1" x14ac:dyDescent="0.3">
      <c r="L64" s="110"/>
    </row>
    <row r="65" spans="12:12" ht="15.75" customHeight="1" x14ac:dyDescent="0.3">
      <c r="L65" s="110"/>
    </row>
    <row r="66" spans="12:12" ht="15.75" customHeight="1" x14ac:dyDescent="0.3">
      <c r="L66" s="110"/>
    </row>
    <row r="67" spans="12:12" ht="15.75" customHeight="1" x14ac:dyDescent="0.3">
      <c r="L67" s="110"/>
    </row>
    <row r="68" spans="12:12" ht="15.75" customHeight="1" x14ac:dyDescent="0.3">
      <c r="L68" s="110"/>
    </row>
    <row r="69" spans="12:12" ht="15.75" customHeight="1" x14ac:dyDescent="0.3">
      <c r="L69" s="110"/>
    </row>
    <row r="70" spans="12:12" ht="15.75" customHeight="1" x14ac:dyDescent="0.3">
      <c r="L70" s="110"/>
    </row>
    <row r="71" spans="12:12" ht="15.75" customHeight="1" x14ac:dyDescent="0.3">
      <c r="L71" s="110"/>
    </row>
    <row r="72" spans="12:12" ht="15.75" customHeight="1" x14ac:dyDescent="0.3">
      <c r="L72" s="110"/>
    </row>
    <row r="73" spans="12:12" ht="15.75" customHeight="1" x14ac:dyDescent="0.3">
      <c r="L73" s="110"/>
    </row>
    <row r="74" spans="12:12" ht="15.75" customHeight="1" x14ac:dyDescent="0.3">
      <c r="L74" s="110"/>
    </row>
    <row r="75" spans="12:12" ht="15.75" customHeight="1" x14ac:dyDescent="0.3">
      <c r="L75" s="110"/>
    </row>
    <row r="76" spans="12:12" ht="15.75" customHeight="1" x14ac:dyDescent="0.3">
      <c r="L76" s="110"/>
    </row>
    <row r="77" spans="12:12" ht="15.75" customHeight="1" x14ac:dyDescent="0.3">
      <c r="L77" s="110"/>
    </row>
    <row r="78" spans="12:12" ht="15.75" customHeight="1" x14ac:dyDescent="0.3">
      <c r="L78" s="110"/>
    </row>
    <row r="79" spans="12:12" ht="15.75" customHeight="1" x14ac:dyDescent="0.3">
      <c r="L79" s="110"/>
    </row>
    <row r="80" spans="12:12" ht="15.75" customHeight="1" x14ac:dyDescent="0.3">
      <c r="L80" s="110"/>
    </row>
    <row r="81" spans="12:12" ht="15.75" customHeight="1" x14ac:dyDescent="0.3">
      <c r="L81" s="110"/>
    </row>
    <row r="82" spans="12:12" ht="15.75" customHeight="1" x14ac:dyDescent="0.3">
      <c r="L82" s="110"/>
    </row>
    <row r="83" spans="12:12" ht="15.75" customHeight="1" x14ac:dyDescent="0.3">
      <c r="L83" s="110"/>
    </row>
    <row r="84" spans="12:12" ht="15.75" customHeight="1" x14ac:dyDescent="0.3">
      <c r="L84" s="110"/>
    </row>
    <row r="85" spans="12:12" ht="15.75" customHeight="1" x14ac:dyDescent="0.3">
      <c r="L85" s="110"/>
    </row>
    <row r="86" spans="12:12" ht="15.75" customHeight="1" x14ac:dyDescent="0.3">
      <c r="L86" s="110"/>
    </row>
    <row r="87" spans="12:12" ht="15.75" customHeight="1" x14ac:dyDescent="0.3">
      <c r="L87" s="110"/>
    </row>
    <row r="88" spans="12:12" ht="15.75" customHeight="1" x14ac:dyDescent="0.3">
      <c r="L88" s="110"/>
    </row>
    <row r="89" spans="12:12" ht="15.75" customHeight="1" x14ac:dyDescent="0.3">
      <c r="L89" s="110"/>
    </row>
    <row r="90" spans="12:12" ht="15.75" customHeight="1" x14ac:dyDescent="0.3">
      <c r="L90" s="110"/>
    </row>
    <row r="91" spans="12:12" ht="15.75" customHeight="1" x14ac:dyDescent="0.3">
      <c r="L91" s="110"/>
    </row>
    <row r="92" spans="12:12" ht="15.75" customHeight="1" x14ac:dyDescent="0.3">
      <c r="L92" s="110"/>
    </row>
    <row r="93" spans="12:12" ht="15.75" customHeight="1" x14ac:dyDescent="0.3">
      <c r="L93" s="110"/>
    </row>
    <row r="94" spans="12:12" ht="15.75" customHeight="1" x14ac:dyDescent="0.3">
      <c r="L94" s="110"/>
    </row>
    <row r="95" spans="12:12" ht="15.75" customHeight="1" x14ac:dyDescent="0.3">
      <c r="L95" s="110"/>
    </row>
    <row r="96" spans="12:12" ht="15.75" customHeight="1" x14ac:dyDescent="0.3">
      <c r="L96" s="110"/>
    </row>
    <row r="97" spans="12:12" ht="15.75" customHeight="1" x14ac:dyDescent="0.3">
      <c r="L97" s="110"/>
    </row>
    <row r="98" spans="12:12" ht="15.75" customHeight="1" x14ac:dyDescent="0.3">
      <c r="L98" s="110"/>
    </row>
    <row r="99" spans="12:12" ht="15.75" customHeight="1" x14ac:dyDescent="0.3">
      <c r="L99" s="110"/>
    </row>
    <row r="100" spans="12:12" ht="15.75" customHeight="1" x14ac:dyDescent="0.3">
      <c r="L100" s="110"/>
    </row>
    <row r="101" spans="12:12" ht="15.75" customHeight="1" x14ac:dyDescent="0.3">
      <c r="L101" s="110"/>
    </row>
    <row r="102" spans="12:12" ht="15.75" customHeight="1" x14ac:dyDescent="0.3">
      <c r="L102" s="110"/>
    </row>
    <row r="103" spans="12:12" ht="15.75" customHeight="1" x14ac:dyDescent="0.3">
      <c r="L103" s="110"/>
    </row>
    <row r="104" spans="12:12" ht="15.75" customHeight="1" x14ac:dyDescent="0.3">
      <c r="L104" s="110"/>
    </row>
    <row r="105" spans="12:12" ht="15.75" customHeight="1" x14ac:dyDescent="0.3">
      <c r="L105" s="110"/>
    </row>
    <row r="106" spans="12:12" ht="15.75" customHeight="1" x14ac:dyDescent="0.3">
      <c r="L106" s="110"/>
    </row>
    <row r="107" spans="12:12" ht="15.75" customHeight="1" x14ac:dyDescent="0.3">
      <c r="L107" s="110"/>
    </row>
    <row r="108" spans="12:12" ht="15.75" customHeight="1" x14ac:dyDescent="0.3">
      <c r="L108" s="110"/>
    </row>
    <row r="109" spans="12:12" ht="15.75" customHeight="1" x14ac:dyDescent="0.3">
      <c r="L109" s="110"/>
    </row>
    <row r="110" spans="12:12" ht="15.75" customHeight="1" x14ac:dyDescent="0.3">
      <c r="L110" s="110"/>
    </row>
    <row r="111" spans="12:12" ht="15.75" customHeight="1" x14ac:dyDescent="0.3">
      <c r="L111" s="110"/>
    </row>
    <row r="112" spans="12:12" ht="15.75" customHeight="1" x14ac:dyDescent="0.3">
      <c r="L112" s="110"/>
    </row>
    <row r="113" spans="12:12" ht="15.75" customHeight="1" x14ac:dyDescent="0.3">
      <c r="L113" s="110"/>
    </row>
    <row r="114" spans="12:12" ht="15.75" customHeight="1" x14ac:dyDescent="0.3">
      <c r="L114" s="110"/>
    </row>
    <row r="115" spans="12:12" ht="15.75" customHeight="1" x14ac:dyDescent="0.3">
      <c r="L115" s="110"/>
    </row>
    <row r="116" spans="12:12" ht="15.75" customHeight="1" x14ac:dyDescent="0.3">
      <c r="L116" s="110"/>
    </row>
    <row r="117" spans="12:12" ht="15.75" customHeight="1" x14ac:dyDescent="0.3">
      <c r="L117" s="110"/>
    </row>
    <row r="118" spans="12:12" ht="15.75" customHeight="1" x14ac:dyDescent="0.3">
      <c r="L118" s="110"/>
    </row>
    <row r="119" spans="12:12" ht="15.75" customHeight="1" x14ac:dyDescent="0.3">
      <c r="L119" s="110"/>
    </row>
    <row r="120" spans="12:12" ht="15.75" customHeight="1" x14ac:dyDescent="0.3">
      <c r="L120" s="110"/>
    </row>
    <row r="121" spans="12:12" ht="15.75" customHeight="1" x14ac:dyDescent="0.3">
      <c r="L121" s="110"/>
    </row>
    <row r="122" spans="12:12" ht="15.75" customHeight="1" x14ac:dyDescent="0.3">
      <c r="L122" s="110"/>
    </row>
    <row r="123" spans="12:12" ht="15.75" customHeight="1" x14ac:dyDescent="0.3">
      <c r="L123" s="110"/>
    </row>
    <row r="124" spans="12:12" ht="15.75" customHeight="1" x14ac:dyDescent="0.3">
      <c r="L124" s="110"/>
    </row>
    <row r="125" spans="12:12" ht="15.75" customHeight="1" x14ac:dyDescent="0.3">
      <c r="L125" s="110"/>
    </row>
    <row r="126" spans="12:12" ht="15.75" customHeight="1" x14ac:dyDescent="0.3">
      <c r="L126" s="110"/>
    </row>
    <row r="127" spans="12:12" ht="15.75" customHeight="1" x14ac:dyDescent="0.3">
      <c r="L127" s="110"/>
    </row>
    <row r="128" spans="12:12" ht="15.75" customHeight="1" x14ac:dyDescent="0.3">
      <c r="L128" s="110"/>
    </row>
    <row r="129" spans="12:12" ht="15.75" customHeight="1" x14ac:dyDescent="0.3">
      <c r="L129" s="110"/>
    </row>
    <row r="130" spans="12:12" ht="15.75" customHeight="1" x14ac:dyDescent="0.3">
      <c r="L130" s="110"/>
    </row>
    <row r="131" spans="12:12" ht="15.75" customHeight="1" x14ac:dyDescent="0.3">
      <c r="L131" s="110"/>
    </row>
    <row r="132" spans="12:12" ht="15.75" customHeight="1" x14ac:dyDescent="0.3">
      <c r="L132" s="110"/>
    </row>
    <row r="133" spans="12:12" ht="15.75" customHeight="1" x14ac:dyDescent="0.3">
      <c r="L133" s="110"/>
    </row>
    <row r="134" spans="12:12" ht="15.75" customHeight="1" x14ac:dyDescent="0.3">
      <c r="L134" s="110"/>
    </row>
    <row r="135" spans="12:12" ht="15.75" customHeight="1" x14ac:dyDescent="0.3">
      <c r="L135" s="110"/>
    </row>
    <row r="136" spans="12:12" ht="15.75" customHeight="1" x14ac:dyDescent="0.3">
      <c r="L136" s="110"/>
    </row>
    <row r="137" spans="12:12" ht="15.75" customHeight="1" x14ac:dyDescent="0.3">
      <c r="L137" s="110"/>
    </row>
    <row r="138" spans="12:12" ht="15.75" customHeight="1" x14ac:dyDescent="0.3">
      <c r="L138" s="110"/>
    </row>
    <row r="139" spans="12:12" ht="15.75" customHeight="1" x14ac:dyDescent="0.3">
      <c r="L139" s="110"/>
    </row>
    <row r="140" spans="12:12" ht="15.75" customHeight="1" x14ac:dyDescent="0.3">
      <c r="L140" s="110"/>
    </row>
    <row r="141" spans="12:12" ht="15.75" customHeight="1" x14ac:dyDescent="0.3">
      <c r="L141" s="110"/>
    </row>
    <row r="142" spans="12:12" ht="15.75" customHeight="1" x14ac:dyDescent="0.3">
      <c r="L142" s="110"/>
    </row>
    <row r="143" spans="12:12" ht="15.75" customHeight="1" x14ac:dyDescent="0.3">
      <c r="L143" s="110"/>
    </row>
    <row r="144" spans="12:12" ht="15.75" customHeight="1" x14ac:dyDescent="0.3">
      <c r="L144" s="110"/>
    </row>
    <row r="145" spans="12:12" ht="15.75" customHeight="1" x14ac:dyDescent="0.3">
      <c r="L145" s="110"/>
    </row>
    <row r="146" spans="12:12" ht="15.75" customHeight="1" x14ac:dyDescent="0.3">
      <c r="L146" s="110"/>
    </row>
    <row r="147" spans="12:12" ht="15.75" customHeight="1" x14ac:dyDescent="0.3">
      <c r="L147" s="110"/>
    </row>
    <row r="148" spans="12:12" ht="15.75" customHeight="1" x14ac:dyDescent="0.3">
      <c r="L148" s="110"/>
    </row>
    <row r="149" spans="12:12" ht="15.75" customHeight="1" x14ac:dyDescent="0.3">
      <c r="L149" s="110"/>
    </row>
    <row r="150" spans="12:12" ht="15.75" customHeight="1" x14ac:dyDescent="0.3">
      <c r="L150" s="110"/>
    </row>
    <row r="151" spans="12:12" ht="15.75" customHeight="1" x14ac:dyDescent="0.3">
      <c r="L151" s="110"/>
    </row>
    <row r="152" spans="12:12" ht="15.75" customHeight="1" x14ac:dyDescent="0.3">
      <c r="L152" s="110"/>
    </row>
    <row r="153" spans="12:12" ht="15.75" customHeight="1" x14ac:dyDescent="0.3">
      <c r="L153" s="110"/>
    </row>
    <row r="154" spans="12:12" ht="15.75" customHeight="1" x14ac:dyDescent="0.3">
      <c r="L154" s="110"/>
    </row>
    <row r="155" spans="12:12" ht="15.75" customHeight="1" x14ac:dyDescent="0.3">
      <c r="L155" s="110"/>
    </row>
    <row r="156" spans="12:12" ht="15.75" customHeight="1" x14ac:dyDescent="0.3">
      <c r="L156" s="110"/>
    </row>
    <row r="157" spans="12:12" ht="15.75" customHeight="1" x14ac:dyDescent="0.3">
      <c r="L157" s="110"/>
    </row>
    <row r="158" spans="12:12" ht="15.75" customHeight="1" x14ac:dyDescent="0.3">
      <c r="L158" s="110"/>
    </row>
    <row r="159" spans="12:12" ht="15.75" customHeight="1" x14ac:dyDescent="0.3">
      <c r="L159" s="110"/>
    </row>
    <row r="160" spans="12:12" ht="15.75" customHeight="1" x14ac:dyDescent="0.3">
      <c r="L160" s="110"/>
    </row>
    <row r="161" spans="12:12" ht="15.75" customHeight="1" x14ac:dyDescent="0.3">
      <c r="L161" s="110"/>
    </row>
    <row r="162" spans="12:12" ht="15.75" customHeight="1" x14ac:dyDescent="0.3">
      <c r="L162" s="110"/>
    </row>
    <row r="163" spans="12:12" ht="15.75" customHeight="1" x14ac:dyDescent="0.3">
      <c r="L163" s="110"/>
    </row>
    <row r="164" spans="12:12" ht="15.75" customHeight="1" x14ac:dyDescent="0.3">
      <c r="L164" s="110"/>
    </row>
    <row r="165" spans="12:12" ht="15.75" customHeight="1" x14ac:dyDescent="0.3">
      <c r="L165" s="110"/>
    </row>
    <row r="166" spans="12:12" ht="15.75" customHeight="1" x14ac:dyDescent="0.3">
      <c r="L166" s="110"/>
    </row>
    <row r="167" spans="12:12" ht="15.75" customHeight="1" x14ac:dyDescent="0.3">
      <c r="L167" s="110"/>
    </row>
    <row r="168" spans="12:12" ht="15.75" customHeight="1" x14ac:dyDescent="0.3">
      <c r="L168" s="110"/>
    </row>
    <row r="169" spans="12:12" ht="15.75" customHeight="1" x14ac:dyDescent="0.3">
      <c r="L169" s="110"/>
    </row>
    <row r="170" spans="12:12" ht="15.75" customHeight="1" x14ac:dyDescent="0.3">
      <c r="L170" s="110"/>
    </row>
    <row r="171" spans="12:12" ht="15.75" customHeight="1" x14ac:dyDescent="0.3">
      <c r="L171" s="110"/>
    </row>
    <row r="172" spans="12:12" ht="15.75" customHeight="1" x14ac:dyDescent="0.3">
      <c r="L172" s="110"/>
    </row>
    <row r="173" spans="12:12" ht="15.75" customHeight="1" x14ac:dyDescent="0.3">
      <c r="L173" s="110"/>
    </row>
    <row r="174" spans="12:12" ht="15.75" customHeight="1" x14ac:dyDescent="0.3">
      <c r="L174" s="110"/>
    </row>
    <row r="175" spans="12:12" ht="15.75" customHeight="1" x14ac:dyDescent="0.3">
      <c r="L175" s="110"/>
    </row>
    <row r="176" spans="12:12" ht="15.75" customHeight="1" x14ac:dyDescent="0.3">
      <c r="L176" s="110"/>
    </row>
    <row r="177" spans="12:12" ht="15.75" customHeight="1" x14ac:dyDescent="0.3">
      <c r="L177" s="110"/>
    </row>
    <row r="178" spans="12:12" ht="15.75" customHeight="1" x14ac:dyDescent="0.3">
      <c r="L178" s="110"/>
    </row>
    <row r="179" spans="12:12" ht="15.75" customHeight="1" x14ac:dyDescent="0.3">
      <c r="L179" s="110"/>
    </row>
    <row r="180" spans="12:12" ht="15.75" customHeight="1" x14ac:dyDescent="0.3">
      <c r="L180" s="110"/>
    </row>
    <row r="181" spans="12:12" ht="15.75" customHeight="1" x14ac:dyDescent="0.3">
      <c r="L181" s="110"/>
    </row>
    <row r="182" spans="12:12" ht="15.75" customHeight="1" x14ac:dyDescent="0.3">
      <c r="L182" s="110"/>
    </row>
    <row r="183" spans="12:12" ht="15.75" customHeight="1" x14ac:dyDescent="0.3">
      <c r="L183" s="110"/>
    </row>
    <row r="184" spans="12:12" ht="15.75" customHeight="1" x14ac:dyDescent="0.3">
      <c r="L184" s="110"/>
    </row>
    <row r="185" spans="12:12" ht="15.75" customHeight="1" x14ac:dyDescent="0.3">
      <c r="L185" s="110"/>
    </row>
    <row r="186" spans="12:12" ht="15.75" customHeight="1" x14ac:dyDescent="0.3">
      <c r="L186" s="110"/>
    </row>
    <row r="187" spans="12:12" ht="15.75" customHeight="1" x14ac:dyDescent="0.3">
      <c r="L187" s="110"/>
    </row>
    <row r="188" spans="12:12" ht="15.75" customHeight="1" x14ac:dyDescent="0.3">
      <c r="L188" s="110"/>
    </row>
    <row r="189" spans="12:12" ht="15.75" customHeight="1" x14ac:dyDescent="0.3">
      <c r="L189" s="110"/>
    </row>
    <row r="190" spans="12:12" ht="15.75" customHeight="1" x14ac:dyDescent="0.3">
      <c r="L190" s="110"/>
    </row>
    <row r="191" spans="12:12" ht="15.75" customHeight="1" x14ac:dyDescent="0.3">
      <c r="L191" s="110"/>
    </row>
    <row r="192" spans="12:12" ht="15.75" customHeight="1" x14ac:dyDescent="0.3">
      <c r="L192" s="110"/>
    </row>
    <row r="193" spans="12:12" ht="15.75" customHeight="1" x14ac:dyDescent="0.3">
      <c r="L193" s="110"/>
    </row>
    <row r="194" spans="12:12" ht="15.75" customHeight="1" x14ac:dyDescent="0.3">
      <c r="L194" s="110"/>
    </row>
    <row r="195" spans="12:12" ht="15.75" customHeight="1" x14ac:dyDescent="0.3">
      <c r="L195" s="110"/>
    </row>
    <row r="196" spans="12:12" ht="15.75" customHeight="1" x14ac:dyDescent="0.3">
      <c r="L196" s="110"/>
    </row>
    <row r="197" spans="12:12" ht="15.75" customHeight="1" x14ac:dyDescent="0.3">
      <c r="L197" s="110"/>
    </row>
    <row r="198" spans="12:12" ht="15.75" customHeight="1" x14ac:dyDescent="0.3">
      <c r="L198" s="110"/>
    </row>
    <row r="199" spans="12:12" ht="15.75" customHeight="1" x14ac:dyDescent="0.3">
      <c r="L199" s="110"/>
    </row>
    <row r="200" spans="12:12" ht="15.75" customHeight="1" x14ac:dyDescent="0.3">
      <c r="L200" s="110"/>
    </row>
    <row r="201" spans="12:12" ht="15.75" customHeight="1" x14ac:dyDescent="0.3">
      <c r="L201" s="110"/>
    </row>
    <row r="202" spans="12:12" ht="15.75" customHeight="1" x14ac:dyDescent="0.3">
      <c r="L202" s="110"/>
    </row>
    <row r="203" spans="12:12" ht="15.75" customHeight="1" x14ac:dyDescent="0.3">
      <c r="L203" s="110"/>
    </row>
    <row r="204" spans="12:12" ht="15.75" customHeight="1" x14ac:dyDescent="0.3">
      <c r="L204" s="110"/>
    </row>
    <row r="205" spans="12:12" ht="15.75" customHeight="1" x14ac:dyDescent="0.3">
      <c r="L205" s="110"/>
    </row>
    <row r="206" spans="12:12" ht="15.75" customHeight="1" x14ac:dyDescent="0.3">
      <c r="L206" s="110"/>
    </row>
    <row r="207" spans="12:12" ht="15.75" customHeight="1" x14ac:dyDescent="0.3">
      <c r="L207" s="110"/>
    </row>
    <row r="208" spans="12:12" ht="15.75" customHeight="1" x14ac:dyDescent="0.3">
      <c r="L208" s="110"/>
    </row>
    <row r="209" spans="12:12" ht="15.75" customHeight="1" x14ac:dyDescent="0.3">
      <c r="L209" s="110"/>
    </row>
    <row r="210" spans="12:12" ht="15.75" customHeight="1" x14ac:dyDescent="0.3">
      <c r="L210" s="110"/>
    </row>
    <row r="211" spans="12:12" ht="15.75" customHeight="1" x14ac:dyDescent="0.3">
      <c r="L211" s="110"/>
    </row>
    <row r="212" spans="12:12" ht="15.75" customHeight="1" x14ac:dyDescent="0.3">
      <c r="L212" s="110"/>
    </row>
    <row r="213" spans="12:12" ht="15.75" customHeight="1" x14ac:dyDescent="0.3">
      <c r="L213" s="110"/>
    </row>
    <row r="214" spans="12:12" ht="15.75" customHeight="1" x14ac:dyDescent="0.3">
      <c r="L214" s="110"/>
    </row>
    <row r="215" spans="12:12" ht="15.75" customHeight="1" x14ac:dyDescent="0.3">
      <c r="L215" s="110"/>
    </row>
    <row r="216" spans="12:12" ht="15.75" customHeight="1" x14ac:dyDescent="0.3">
      <c r="L216" s="110"/>
    </row>
    <row r="217" spans="12:12" ht="15.75" customHeight="1" x14ac:dyDescent="0.3">
      <c r="L217" s="110"/>
    </row>
    <row r="218" spans="12:12" ht="15.75" customHeight="1" x14ac:dyDescent="0.3">
      <c r="L218" s="110"/>
    </row>
    <row r="219" spans="12:12" ht="15.75" customHeight="1" x14ac:dyDescent="0.3">
      <c r="L219" s="110"/>
    </row>
    <row r="220" spans="12:12" ht="15.75" customHeight="1" x14ac:dyDescent="0.3">
      <c r="L220" s="110"/>
    </row>
    <row r="221" spans="12:12" ht="15.75" customHeight="1" x14ac:dyDescent="0.3">
      <c r="L221" s="110"/>
    </row>
    <row r="222" spans="12:12" ht="15.75" customHeight="1" x14ac:dyDescent="0.3">
      <c r="L222" s="110"/>
    </row>
    <row r="223" spans="12:12" ht="15.75" customHeight="1" x14ac:dyDescent="0.3">
      <c r="L223" s="110"/>
    </row>
    <row r="224" spans="12:12" ht="15.75" customHeight="1" x14ac:dyDescent="0.3">
      <c r="L224" s="110"/>
    </row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3">
    <mergeCell ref="B2:F2"/>
    <mergeCell ref="B3:F3"/>
    <mergeCell ref="B4:F4"/>
  </mergeCells>
  <dataValidations count="1">
    <dataValidation type="list" allowBlank="1" showErrorMessage="1" sqref="G9:G18" xr:uid="{00000000-0002-0000-0300-000000000000}">
      <formula1>$P$2:$P$5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3"/>
  <sheetViews>
    <sheetView topLeftCell="D1" workbookViewId="0">
      <selection activeCell="J18" sqref="J18"/>
    </sheetView>
  </sheetViews>
  <sheetFormatPr defaultColWidth="12.6640625" defaultRowHeight="15" customHeight="1" x14ac:dyDescent="0.2"/>
  <cols>
    <col min="1" max="1" width="21.6640625" customWidth="1"/>
    <col min="2" max="2" width="20.77734375" customWidth="1"/>
    <col min="3" max="4" width="25.6640625" customWidth="1"/>
    <col min="5" max="5" width="27.109375" customWidth="1"/>
    <col min="6" max="6" width="24.44140625" customWidth="1"/>
    <col min="7" max="7" width="9.44140625" customWidth="1"/>
    <col min="8" max="8" width="11.109375" customWidth="1"/>
    <col min="9" max="9" width="9.6640625" customWidth="1"/>
    <col min="10" max="10" width="9.109375" customWidth="1"/>
    <col min="11" max="12" width="8.44140625" customWidth="1"/>
    <col min="13" max="13" width="20.88671875" customWidth="1"/>
  </cols>
  <sheetData>
    <row r="1" spans="1:27" ht="13.8" x14ac:dyDescent="0.25">
      <c r="A1" s="7"/>
      <c r="B1" s="7"/>
      <c r="C1" s="7"/>
      <c r="D1" s="114"/>
      <c r="E1" s="7"/>
      <c r="F1" s="7"/>
      <c r="G1" s="7"/>
      <c r="H1" s="88"/>
      <c r="I1" s="88"/>
      <c r="J1" s="88"/>
      <c r="K1" s="88"/>
      <c r="L1" s="89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 spans="1:27" ht="13.8" x14ac:dyDescent="0.25">
      <c r="A2" s="90" t="s">
        <v>41</v>
      </c>
      <c r="B2" s="141" t="s">
        <v>73</v>
      </c>
      <c r="C2" s="142"/>
      <c r="D2" s="142"/>
      <c r="E2" s="142"/>
      <c r="F2" s="143"/>
      <c r="G2" s="91"/>
      <c r="H2" s="88"/>
      <c r="I2" s="88"/>
      <c r="J2" s="88"/>
      <c r="K2" s="88"/>
      <c r="L2" s="89"/>
      <c r="M2" s="92" t="s">
        <v>24</v>
      </c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3.8" x14ac:dyDescent="0.25">
      <c r="A3" s="93" t="s">
        <v>42</v>
      </c>
      <c r="B3" s="144"/>
      <c r="C3" s="118"/>
      <c r="D3" s="138"/>
      <c r="E3" s="118"/>
      <c r="F3" s="119"/>
      <c r="G3" s="94"/>
      <c r="H3" s="88"/>
      <c r="I3" s="88"/>
      <c r="J3" s="88"/>
      <c r="K3" s="88"/>
      <c r="L3" s="89"/>
      <c r="M3" s="92" t="s">
        <v>25</v>
      </c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3.8" x14ac:dyDescent="0.25">
      <c r="A4" s="93" t="s">
        <v>43</v>
      </c>
      <c r="B4" s="144"/>
      <c r="C4" s="118"/>
      <c r="D4" s="138"/>
      <c r="E4" s="118"/>
      <c r="F4" s="119"/>
      <c r="G4" s="94"/>
      <c r="H4" s="88"/>
      <c r="I4" s="88"/>
      <c r="J4" s="88"/>
      <c r="K4" s="88"/>
      <c r="L4" s="89"/>
      <c r="M4" s="92" t="s">
        <v>44</v>
      </c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spans="1:27" ht="39.6" x14ac:dyDescent="0.25">
      <c r="A5" s="95" t="s">
        <v>28</v>
      </c>
      <c r="B5" s="96" t="s">
        <v>24</v>
      </c>
      <c r="C5" s="96" t="s">
        <v>25</v>
      </c>
      <c r="D5" s="96"/>
      <c r="E5" s="96" t="s">
        <v>26</v>
      </c>
      <c r="F5" s="96" t="s">
        <v>18</v>
      </c>
      <c r="G5" s="97" t="s">
        <v>45</v>
      </c>
      <c r="H5" s="88"/>
      <c r="I5" s="88"/>
      <c r="J5" s="88"/>
      <c r="K5" s="88"/>
      <c r="L5" s="89"/>
      <c r="M5" s="92" t="s">
        <v>18</v>
      </c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spans="1:27" ht="14.4" x14ac:dyDescent="0.3">
      <c r="A6" s="98">
        <f>AVERAGE(L:L)</f>
        <v>1</v>
      </c>
      <c r="B6" s="99">
        <f>COUNTIF(G10:G994,"Pass")</f>
        <v>4</v>
      </c>
      <c r="C6" s="99">
        <f>COUNTIF(G12:G994,"Fail")</f>
        <v>0</v>
      </c>
      <c r="D6" s="99"/>
      <c r="E6" s="99">
        <f>G6-F6-C6-B6</f>
        <v>0</v>
      </c>
      <c r="F6" s="99">
        <f>COUNTIF(G12:G994,"N/A")</f>
        <v>0</v>
      </c>
      <c r="G6" s="100">
        <f>COUNTA(A10:A994)</f>
        <v>4</v>
      </c>
      <c r="H6" s="88"/>
      <c r="I6" s="88"/>
      <c r="J6" s="88"/>
      <c r="K6" s="88"/>
      <c r="L6" s="89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 spans="1:27" ht="13.8" x14ac:dyDescent="0.25">
      <c r="A7" s="101"/>
      <c r="B7" s="101"/>
      <c r="C7" s="101"/>
      <c r="D7" s="115"/>
      <c r="E7" s="101"/>
      <c r="F7" s="101"/>
      <c r="G7" s="53"/>
      <c r="H7" s="88"/>
      <c r="I7" s="88"/>
      <c r="J7" s="88"/>
      <c r="K7" s="88"/>
      <c r="L7" s="89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</row>
    <row r="8" spans="1:27" ht="6.75" customHeight="1" x14ac:dyDescent="0.25">
      <c r="H8" s="88"/>
      <c r="I8" s="88"/>
      <c r="J8" s="88"/>
      <c r="K8" s="88"/>
      <c r="L8" s="89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</row>
    <row r="9" spans="1:27" ht="26.4" x14ac:dyDescent="0.2">
      <c r="A9" s="102" t="s">
        <v>46</v>
      </c>
      <c r="B9" s="102" t="s">
        <v>47</v>
      </c>
      <c r="C9" s="102" t="s">
        <v>48</v>
      </c>
      <c r="D9" s="102" t="s">
        <v>108</v>
      </c>
      <c r="E9" s="102" t="s">
        <v>49</v>
      </c>
      <c r="F9" s="102" t="s">
        <v>109</v>
      </c>
      <c r="G9" s="102" t="s">
        <v>51</v>
      </c>
      <c r="H9" s="102" t="s">
        <v>52</v>
      </c>
      <c r="I9" s="102" t="s">
        <v>53</v>
      </c>
      <c r="J9" s="103" t="s">
        <v>54</v>
      </c>
      <c r="K9" s="104" t="s">
        <v>55</v>
      </c>
      <c r="L9" s="105" t="s">
        <v>56</v>
      </c>
      <c r="M9" s="102" t="s">
        <v>57</v>
      </c>
    </row>
    <row r="10" spans="1:27" ht="26.4" x14ac:dyDescent="0.25">
      <c r="A10" s="106" t="str">
        <f t="shared" ref="A10:A16" si="0">IF(OR(B10&lt;&gt;"",E10&lt;&gt;""),"["&amp;TEXT($B$2,"##")&amp;"-"&amp;TEXT(ROW()-9,"##")&amp;"]","")</f>
        <v>[LAB5_BAI2-1]</v>
      </c>
      <c r="B10" s="107" t="s">
        <v>124</v>
      </c>
      <c r="C10" s="106" t="s">
        <v>125</v>
      </c>
      <c r="D10" s="106" t="s">
        <v>128</v>
      </c>
      <c r="E10" s="107" t="s">
        <v>129</v>
      </c>
      <c r="F10" s="107" t="s">
        <v>129</v>
      </c>
      <c r="G10" s="107" t="s">
        <v>24</v>
      </c>
      <c r="H10" s="10" t="s">
        <v>71</v>
      </c>
      <c r="I10" s="9" t="s">
        <v>70</v>
      </c>
      <c r="J10" s="107">
        <v>15</v>
      </c>
      <c r="K10" s="107">
        <v>15</v>
      </c>
      <c r="L10" s="109">
        <f t="shared" ref="L10:L16" si="1">K10/J10</f>
        <v>1</v>
      </c>
      <c r="M10" s="107" t="s">
        <v>130</v>
      </c>
    </row>
    <row r="11" spans="1:27" ht="26.4" x14ac:dyDescent="0.25">
      <c r="A11" s="106" t="str">
        <f t="shared" si="0"/>
        <v>[LAB5_BAI2-2]</v>
      </c>
      <c r="B11" s="107" t="s">
        <v>127</v>
      </c>
      <c r="C11" s="106" t="s">
        <v>126</v>
      </c>
      <c r="D11" s="106" t="s">
        <v>128</v>
      </c>
      <c r="E11" s="107" t="s">
        <v>131</v>
      </c>
      <c r="F11" s="107" t="s">
        <v>131</v>
      </c>
      <c r="G11" s="107" t="s">
        <v>24</v>
      </c>
      <c r="H11" s="10" t="s">
        <v>71</v>
      </c>
      <c r="I11" s="9" t="s">
        <v>70</v>
      </c>
      <c r="J11" s="107">
        <v>15</v>
      </c>
      <c r="K11" s="107">
        <v>15</v>
      </c>
      <c r="L11" s="109">
        <f t="shared" si="1"/>
        <v>1</v>
      </c>
      <c r="M11" s="107"/>
    </row>
    <row r="12" spans="1:27" ht="26.4" x14ac:dyDescent="0.25">
      <c r="A12" s="106" t="str">
        <f t="shared" si="0"/>
        <v>[LAB5_BAI2-3]</v>
      </c>
      <c r="B12" s="107" t="s">
        <v>132</v>
      </c>
      <c r="C12" s="106" t="s">
        <v>134</v>
      </c>
      <c r="D12" s="106" t="s">
        <v>133</v>
      </c>
      <c r="E12" s="107" t="s">
        <v>24</v>
      </c>
      <c r="F12" s="107" t="s">
        <v>24</v>
      </c>
      <c r="G12" s="107" t="s">
        <v>24</v>
      </c>
      <c r="H12" s="10" t="s">
        <v>71</v>
      </c>
      <c r="I12" s="9" t="s">
        <v>70</v>
      </c>
      <c r="J12" s="107">
        <v>15</v>
      </c>
      <c r="K12" s="107">
        <v>15</v>
      </c>
      <c r="L12" s="109">
        <f t="shared" si="1"/>
        <v>1</v>
      </c>
      <c r="M12" s="107" t="s">
        <v>135</v>
      </c>
    </row>
    <row r="13" spans="1:27" ht="13.8" x14ac:dyDescent="0.25">
      <c r="A13" s="106" t="str">
        <f t="shared" si="0"/>
        <v>[LAB5_BAI2-4]</v>
      </c>
      <c r="B13" s="107" t="s">
        <v>136</v>
      </c>
      <c r="C13" s="106" t="s">
        <v>137</v>
      </c>
      <c r="D13" s="106" t="s">
        <v>138</v>
      </c>
      <c r="E13" s="107"/>
      <c r="F13" s="107"/>
      <c r="G13" s="107" t="s">
        <v>24</v>
      </c>
      <c r="H13" s="10" t="s">
        <v>71</v>
      </c>
      <c r="I13" s="9" t="s">
        <v>70</v>
      </c>
      <c r="J13" s="107">
        <v>15</v>
      </c>
      <c r="K13" s="107">
        <v>15</v>
      </c>
      <c r="L13" s="109">
        <f t="shared" si="1"/>
        <v>1</v>
      </c>
      <c r="M13" s="107"/>
    </row>
    <row r="14" spans="1:27" ht="13.2" x14ac:dyDescent="0.2">
      <c r="A14" s="106"/>
      <c r="B14" s="107"/>
      <c r="C14" s="106"/>
      <c r="D14" s="106"/>
      <c r="E14" s="107"/>
      <c r="F14" s="107"/>
      <c r="G14" s="107"/>
      <c r="H14" s="108"/>
      <c r="I14" s="107"/>
      <c r="J14" s="107"/>
      <c r="K14" s="107"/>
      <c r="L14" s="109"/>
      <c r="M14" s="107"/>
    </row>
    <row r="15" spans="1:27" ht="13.2" x14ac:dyDescent="0.2">
      <c r="A15" s="106"/>
      <c r="B15" s="107"/>
      <c r="C15" s="106"/>
      <c r="D15" s="106"/>
      <c r="E15" s="107"/>
      <c r="F15" s="107"/>
      <c r="G15" s="107"/>
      <c r="H15" s="108"/>
      <c r="I15" s="107"/>
      <c r="J15" s="107"/>
      <c r="K15" s="107"/>
      <c r="L15" s="109"/>
      <c r="M15" s="107"/>
    </row>
    <row r="16" spans="1:27" ht="13.2" x14ac:dyDescent="0.2">
      <c r="A16" s="106"/>
      <c r="B16" s="107"/>
      <c r="C16" s="106"/>
      <c r="D16" s="106"/>
      <c r="E16" s="107"/>
      <c r="F16" s="107"/>
      <c r="G16" s="107"/>
      <c r="H16" s="108"/>
      <c r="I16" s="107"/>
      <c r="J16" s="107"/>
      <c r="K16" s="107"/>
      <c r="L16" s="109"/>
      <c r="M16" s="107"/>
    </row>
    <row r="17" spans="12:12" ht="14.4" x14ac:dyDescent="0.3">
      <c r="L17" s="110"/>
    </row>
    <row r="18" spans="12:12" ht="14.4" x14ac:dyDescent="0.3">
      <c r="L18" s="110"/>
    </row>
    <row r="19" spans="12:12" ht="14.4" x14ac:dyDescent="0.3">
      <c r="L19" s="110"/>
    </row>
    <row r="20" spans="12:12" ht="14.4" x14ac:dyDescent="0.3">
      <c r="L20" s="110"/>
    </row>
    <row r="21" spans="12:12" ht="14.4" x14ac:dyDescent="0.3">
      <c r="L21" s="110"/>
    </row>
    <row r="22" spans="12:12" ht="14.4" x14ac:dyDescent="0.3">
      <c r="L22" s="110"/>
    </row>
    <row r="23" spans="12:12" ht="14.4" x14ac:dyDescent="0.3">
      <c r="L23" s="110"/>
    </row>
    <row r="24" spans="12:12" ht="15.75" customHeight="1" x14ac:dyDescent="0.3">
      <c r="L24" s="110"/>
    </row>
    <row r="25" spans="12:12" ht="15.75" customHeight="1" x14ac:dyDescent="0.3">
      <c r="L25" s="110"/>
    </row>
    <row r="26" spans="12:12" ht="15.75" customHeight="1" x14ac:dyDescent="0.3">
      <c r="L26" s="110"/>
    </row>
    <row r="27" spans="12:12" ht="15.75" customHeight="1" x14ac:dyDescent="0.3">
      <c r="L27" s="110"/>
    </row>
    <row r="28" spans="12:12" ht="15.75" customHeight="1" x14ac:dyDescent="0.3">
      <c r="L28" s="110"/>
    </row>
    <row r="29" spans="12:12" ht="15.75" customHeight="1" x14ac:dyDescent="0.3">
      <c r="L29" s="110"/>
    </row>
    <row r="30" spans="12:12" ht="15.75" customHeight="1" x14ac:dyDescent="0.3">
      <c r="L30" s="110"/>
    </row>
    <row r="31" spans="12:12" ht="15.75" customHeight="1" x14ac:dyDescent="0.3">
      <c r="L31" s="110"/>
    </row>
    <row r="32" spans="12:12" ht="15.75" customHeight="1" x14ac:dyDescent="0.3">
      <c r="L32" s="110"/>
    </row>
    <row r="33" spans="12:12" ht="15.75" customHeight="1" x14ac:dyDescent="0.3">
      <c r="L33" s="110"/>
    </row>
    <row r="34" spans="12:12" ht="15.75" customHeight="1" x14ac:dyDescent="0.3">
      <c r="L34" s="110"/>
    </row>
    <row r="35" spans="12:12" ht="15.75" customHeight="1" x14ac:dyDescent="0.3">
      <c r="L35" s="110"/>
    </row>
    <row r="36" spans="12:12" ht="15.75" customHeight="1" x14ac:dyDescent="0.3">
      <c r="L36" s="110"/>
    </row>
    <row r="37" spans="12:12" ht="15.75" customHeight="1" x14ac:dyDescent="0.3">
      <c r="L37" s="110"/>
    </row>
    <row r="38" spans="12:12" ht="15.75" customHeight="1" x14ac:dyDescent="0.3">
      <c r="L38" s="110"/>
    </row>
    <row r="39" spans="12:12" ht="15.75" customHeight="1" x14ac:dyDescent="0.3">
      <c r="L39" s="110"/>
    </row>
    <row r="40" spans="12:12" ht="15.75" customHeight="1" x14ac:dyDescent="0.3">
      <c r="L40" s="110"/>
    </row>
    <row r="41" spans="12:12" ht="15.75" customHeight="1" x14ac:dyDescent="0.3">
      <c r="L41" s="110"/>
    </row>
    <row r="42" spans="12:12" ht="15.75" customHeight="1" x14ac:dyDescent="0.3">
      <c r="L42" s="110"/>
    </row>
    <row r="43" spans="12:12" ht="15.75" customHeight="1" x14ac:dyDescent="0.3">
      <c r="L43" s="110"/>
    </row>
    <row r="44" spans="12:12" ht="15.75" customHeight="1" x14ac:dyDescent="0.3">
      <c r="L44" s="110"/>
    </row>
    <row r="45" spans="12:12" ht="15.75" customHeight="1" x14ac:dyDescent="0.3">
      <c r="L45" s="110"/>
    </row>
    <row r="46" spans="12:12" ht="15.75" customHeight="1" x14ac:dyDescent="0.3">
      <c r="L46" s="110"/>
    </row>
    <row r="47" spans="12:12" ht="15.75" customHeight="1" x14ac:dyDescent="0.3">
      <c r="L47" s="110"/>
    </row>
    <row r="48" spans="12:12" ht="15.75" customHeight="1" x14ac:dyDescent="0.3">
      <c r="L48" s="110"/>
    </row>
    <row r="49" spans="12:12" ht="15.75" customHeight="1" x14ac:dyDescent="0.3">
      <c r="L49" s="110"/>
    </row>
    <row r="50" spans="12:12" ht="15.75" customHeight="1" x14ac:dyDescent="0.3">
      <c r="L50" s="110"/>
    </row>
    <row r="51" spans="12:12" ht="15.75" customHeight="1" x14ac:dyDescent="0.3">
      <c r="L51" s="110"/>
    </row>
    <row r="52" spans="12:12" ht="15.75" customHeight="1" x14ac:dyDescent="0.3">
      <c r="L52" s="110"/>
    </row>
    <row r="53" spans="12:12" ht="15.75" customHeight="1" x14ac:dyDescent="0.3">
      <c r="L53" s="110"/>
    </row>
    <row r="54" spans="12:12" ht="15.75" customHeight="1" x14ac:dyDescent="0.3">
      <c r="L54" s="110"/>
    </row>
    <row r="55" spans="12:12" ht="15.75" customHeight="1" x14ac:dyDescent="0.3">
      <c r="L55" s="110"/>
    </row>
    <row r="56" spans="12:12" ht="15.75" customHeight="1" x14ac:dyDescent="0.3">
      <c r="L56" s="110"/>
    </row>
    <row r="57" spans="12:12" ht="15.75" customHeight="1" x14ac:dyDescent="0.3">
      <c r="L57" s="110"/>
    </row>
    <row r="58" spans="12:12" ht="15.75" customHeight="1" x14ac:dyDescent="0.3">
      <c r="L58" s="110"/>
    </row>
    <row r="59" spans="12:12" ht="15.75" customHeight="1" x14ac:dyDescent="0.3">
      <c r="L59" s="110"/>
    </row>
    <row r="60" spans="12:12" ht="15.75" customHeight="1" x14ac:dyDescent="0.3">
      <c r="L60" s="110"/>
    </row>
    <row r="61" spans="12:12" ht="15.75" customHeight="1" x14ac:dyDescent="0.3">
      <c r="L61" s="110"/>
    </row>
    <row r="62" spans="12:12" ht="15.75" customHeight="1" x14ac:dyDescent="0.3">
      <c r="L62" s="110"/>
    </row>
    <row r="63" spans="12:12" ht="15.75" customHeight="1" x14ac:dyDescent="0.3">
      <c r="L63" s="110"/>
    </row>
    <row r="64" spans="12:12" ht="15.75" customHeight="1" x14ac:dyDescent="0.3">
      <c r="L64" s="110"/>
    </row>
    <row r="65" spans="12:12" ht="15.75" customHeight="1" x14ac:dyDescent="0.3">
      <c r="L65" s="110"/>
    </row>
    <row r="66" spans="12:12" ht="15.75" customHeight="1" x14ac:dyDescent="0.3">
      <c r="L66" s="110"/>
    </row>
    <row r="67" spans="12:12" ht="15.75" customHeight="1" x14ac:dyDescent="0.3">
      <c r="L67" s="110"/>
    </row>
    <row r="68" spans="12:12" ht="15.75" customHeight="1" x14ac:dyDescent="0.3">
      <c r="L68" s="110"/>
    </row>
    <row r="69" spans="12:12" ht="15.75" customHeight="1" x14ac:dyDescent="0.3">
      <c r="L69" s="110"/>
    </row>
    <row r="70" spans="12:12" ht="15.75" customHeight="1" x14ac:dyDescent="0.3">
      <c r="L70" s="110"/>
    </row>
    <row r="71" spans="12:12" ht="15.75" customHeight="1" x14ac:dyDescent="0.3">
      <c r="L71" s="110"/>
    </row>
    <row r="72" spans="12:12" ht="15.75" customHeight="1" x14ac:dyDescent="0.3">
      <c r="L72" s="110"/>
    </row>
    <row r="73" spans="12:12" ht="15.75" customHeight="1" x14ac:dyDescent="0.3">
      <c r="L73" s="110"/>
    </row>
    <row r="74" spans="12:12" ht="15.75" customHeight="1" x14ac:dyDescent="0.3">
      <c r="L74" s="110"/>
    </row>
    <row r="75" spans="12:12" ht="15.75" customHeight="1" x14ac:dyDescent="0.3">
      <c r="L75" s="110"/>
    </row>
    <row r="76" spans="12:12" ht="15.75" customHeight="1" x14ac:dyDescent="0.3">
      <c r="L76" s="110"/>
    </row>
    <row r="77" spans="12:12" ht="15.75" customHeight="1" x14ac:dyDescent="0.3">
      <c r="L77" s="110"/>
    </row>
    <row r="78" spans="12:12" ht="15.75" customHeight="1" x14ac:dyDescent="0.3">
      <c r="L78" s="110"/>
    </row>
    <row r="79" spans="12:12" ht="15.75" customHeight="1" x14ac:dyDescent="0.3">
      <c r="L79" s="110"/>
    </row>
    <row r="80" spans="12:12" ht="15.75" customHeight="1" x14ac:dyDescent="0.3">
      <c r="L80" s="110"/>
    </row>
    <row r="81" spans="12:12" ht="15.75" customHeight="1" x14ac:dyDescent="0.3">
      <c r="L81" s="110"/>
    </row>
    <row r="82" spans="12:12" ht="15.75" customHeight="1" x14ac:dyDescent="0.3">
      <c r="L82" s="110"/>
    </row>
    <row r="83" spans="12:12" ht="15.75" customHeight="1" x14ac:dyDescent="0.3">
      <c r="L83" s="110"/>
    </row>
    <row r="84" spans="12:12" ht="15.75" customHeight="1" x14ac:dyDescent="0.3">
      <c r="L84" s="110"/>
    </row>
    <row r="85" spans="12:12" ht="15.75" customHeight="1" x14ac:dyDescent="0.3">
      <c r="L85" s="110"/>
    </row>
    <row r="86" spans="12:12" ht="15.75" customHeight="1" x14ac:dyDescent="0.3">
      <c r="L86" s="110"/>
    </row>
    <row r="87" spans="12:12" ht="15.75" customHeight="1" x14ac:dyDescent="0.3">
      <c r="L87" s="110"/>
    </row>
    <row r="88" spans="12:12" ht="15.75" customHeight="1" x14ac:dyDescent="0.3">
      <c r="L88" s="110"/>
    </row>
    <row r="89" spans="12:12" ht="15.75" customHeight="1" x14ac:dyDescent="0.3">
      <c r="L89" s="110"/>
    </row>
    <row r="90" spans="12:12" ht="15.75" customHeight="1" x14ac:dyDescent="0.3">
      <c r="L90" s="110"/>
    </row>
    <row r="91" spans="12:12" ht="15.75" customHeight="1" x14ac:dyDescent="0.3">
      <c r="L91" s="110"/>
    </row>
    <row r="92" spans="12:12" ht="15.75" customHeight="1" x14ac:dyDescent="0.3">
      <c r="L92" s="110"/>
    </row>
    <row r="93" spans="12:12" ht="15.75" customHeight="1" x14ac:dyDescent="0.3">
      <c r="L93" s="110"/>
    </row>
    <row r="94" spans="12:12" ht="15.75" customHeight="1" x14ac:dyDescent="0.3">
      <c r="L94" s="110"/>
    </row>
    <row r="95" spans="12:12" ht="15.75" customHeight="1" x14ac:dyDescent="0.3">
      <c r="L95" s="110"/>
    </row>
    <row r="96" spans="12:12" ht="15.75" customHeight="1" x14ac:dyDescent="0.3">
      <c r="L96" s="110"/>
    </row>
    <row r="97" spans="12:12" ht="15.75" customHeight="1" x14ac:dyDescent="0.3">
      <c r="L97" s="110"/>
    </row>
    <row r="98" spans="12:12" ht="15.75" customHeight="1" x14ac:dyDescent="0.3">
      <c r="L98" s="110"/>
    </row>
    <row r="99" spans="12:12" ht="15.75" customHeight="1" x14ac:dyDescent="0.3">
      <c r="L99" s="110"/>
    </row>
    <row r="100" spans="12:12" ht="15.75" customHeight="1" x14ac:dyDescent="0.3">
      <c r="L100" s="110"/>
    </row>
    <row r="101" spans="12:12" ht="15.75" customHeight="1" x14ac:dyDescent="0.3">
      <c r="L101" s="110"/>
    </row>
    <row r="102" spans="12:12" ht="15.75" customHeight="1" x14ac:dyDescent="0.3">
      <c r="L102" s="110"/>
    </row>
    <row r="103" spans="12:12" ht="15.75" customHeight="1" x14ac:dyDescent="0.3">
      <c r="L103" s="110"/>
    </row>
    <row r="104" spans="12:12" ht="15.75" customHeight="1" x14ac:dyDescent="0.3">
      <c r="L104" s="110"/>
    </row>
    <row r="105" spans="12:12" ht="15.75" customHeight="1" x14ac:dyDescent="0.3">
      <c r="L105" s="110"/>
    </row>
    <row r="106" spans="12:12" ht="15.75" customHeight="1" x14ac:dyDescent="0.3">
      <c r="L106" s="110"/>
    </row>
    <row r="107" spans="12:12" ht="15.75" customHeight="1" x14ac:dyDescent="0.3">
      <c r="L107" s="110"/>
    </row>
    <row r="108" spans="12:12" ht="15.75" customHeight="1" x14ac:dyDescent="0.3">
      <c r="L108" s="110"/>
    </row>
    <row r="109" spans="12:12" ht="15.75" customHeight="1" x14ac:dyDescent="0.3">
      <c r="L109" s="110"/>
    </row>
    <row r="110" spans="12:12" ht="15.75" customHeight="1" x14ac:dyDescent="0.3">
      <c r="L110" s="110"/>
    </row>
    <row r="111" spans="12:12" ht="15.75" customHeight="1" x14ac:dyDescent="0.3">
      <c r="L111" s="110"/>
    </row>
    <row r="112" spans="12:12" ht="15.75" customHeight="1" x14ac:dyDescent="0.3">
      <c r="L112" s="110"/>
    </row>
    <row r="113" spans="12:12" ht="15.75" customHeight="1" x14ac:dyDescent="0.3">
      <c r="L113" s="110"/>
    </row>
    <row r="114" spans="12:12" ht="15.75" customHeight="1" x14ac:dyDescent="0.3">
      <c r="L114" s="110"/>
    </row>
    <row r="115" spans="12:12" ht="15.75" customHeight="1" x14ac:dyDescent="0.3">
      <c r="L115" s="110"/>
    </row>
    <row r="116" spans="12:12" ht="15.75" customHeight="1" x14ac:dyDescent="0.3">
      <c r="L116" s="110"/>
    </row>
    <row r="117" spans="12:12" ht="15.75" customHeight="1" x14ac:dyDescent="0.3">
      <c r="L117" s="110"/>
    </row>
    <row r="118" spans="12:12" ht="15.75" customHeight="1" x14ac:dyDescent="0.3">
      <c r="L118" s="110"/>
    </row>
    <row r="119" spans="12:12" ht="15.75" customHeight="1" x14ac:dyDescent="0.3">
      <c r="L119" s="110"/>
    </row>
    <row r="120" spans="12:12" ht="15.75" customHeight="1" x14ac:dyDescent="0.3">
      <c r="L120" s="110"/>
    </row>
    <row r="121" spans="12:12" ht="15.75" customHeight="1" x14ac:dyDescent="0.3">
      <c r="L121" s="110"/>
    </row>
    <row r="122" spans="12:12" ht="15.75" customHeight="1" x14ac:dyDescent="0.3">
      <c r="L122" s="110"/>
    </row>
    <row r="123" spans="12:12" ht="15.75" customHeight="1" x14ac:dyDescent="0.3">
      <c r="L123" s="110"/>
    </row>
    <row r="124" spans="12:12" ht="15.75" customHeight="1" x14ac:dyDescent="0.3">
      <c r="L124" s="110"/>
    </row>
    <row r="125" spans="12:12" ht="15.75" customHeight="1" x14ac:dyDescent="0.3">
      <c r="L125" s="110"/>
    </row>
    <row r="126" spans="12:12" ht="15.75" customHeight="1" x14ac:dyDescent="0.3">
      <c r="L126" s="110"/>
    </row>
    <row r="127" spans="12:12" ht="15.75" customHeight="1" x14ac:dyDescent="0.3">
      <c r="L127" s="110"/>
    </row>
    <row r="128" spans="12:12" ht="15.75" customHeight="1" x14ac:dyDescent="0.3">
      <c r="L128" s="110"/>
    </row>
    <row r="129" spans="12:12" ht="15.75" customHeight="1" x14ac:dyDescent="0.3">
      <c r="L129" s="110"/>
    </row>
    <row r="130" spans="12:12" ht="15.75" customHeight="1" x14ac:dyDescent="0.3">
      <c r="L130" s="110"/>
    </row>
    <row r="131" spans="12:12" ht="15.75" customHeight="1" x14ac:dyDescent="0.3">
      <c r="L131" s="110"/>
    </row>
    <row r="132" spans="12:12" ht="15.75" customHeight="1" x14ac:dyDescent="0.3">
      <c r="L132" s="110"/>
    </row>
    <row r="133" spans="12:12" ht="15.75" customHeight="1" x14ac:dyDescent="0.3">
      <c r="L133" s="110"/>
    </row>
    <row r="134" spans="12:12" ht="15.75" customHeight="1" x14ac:dyDescent="0.3">
      <c r="L134" s="110"/>
    </row>
    <row r="135" spans="12:12" ht="15.75" customHeight="1" x14ac:dyDescent="0.3">
      <c r="L135" s="110"/>
    </row>
    <row r="136" spans="12:12" ht="15.75" customHeight="1" x14ac:dyDescent="0.3">
      <c r="L136" s="110"/>
    </row>
    <row r="137" spans="12:12" ht="15.75" customHeight="1" x14ac:dyDescent="0.3">
      <c r="L137" s="110"/>
    </row>
    <row r="138" spans="12:12" ht="15.75" customHeight="1" x14ac:dyDescent="0.3">
      <c r="L138" s="110"/>
    </row>
    <row r="139" spans="12:12" ht="15.75" customHeight="1" x14ac:dyDescent="0.3">
      <c r="L139" s="110"/>
    </row>
    <row r="140" spans="12:12" ht="15.75" customHeight="1" x14ac:dyDescent="0.3">
      <c r="L140" s="110"/>
    </row>
    <row r="141" spans="12:12" ht="15.75" customHeight="1" x14ac:dyDescent="0.3">
      <c r="L141" s="110"/>
    </row>
    <row r="142" spans="12:12" ht="15.75" customHeight="1" x14ac:dyDescent="0.3">
      <c r="L142" s="110"/>
    </row>
    <row r="143" spans="12:12" ht="15.75" customHeight="1" x14ac:dyDescent="0.3">
      <c r="L143" s="110"/>
    </row>
    <row r="144" spans="12:12" ht="15.75" customHeight="1" x14ac:dyDescent="0.3">
      <c r="L144" s="110"/>
    </row>
    <row r="145" spans="12:12" ht="15.75" customHeight="1" x14ac:dyDescent="0.3">
      <c r="L145" s="110"/>
    </row>
    <row r="146" spans="12:12" ht="15.75" customHeight="1" x14ac:dyDescent="0.3">
      <c r="L146" s="110"/>
    </row>
    <row r="147" spans="12:12" ht="15.75" customHeight="1" x14ac:dyDescent="0.3">
      <c r="L147" s="110"/>
    </row>
    <row r="148" spans="12:12" ht="15.75" customHeight="1" x14ac:dyDescent="0.3">
      <c r="L148" s="110"/>
    </row>
    <row r="149" spans="12:12" ht="15.75" customHeight="1" x14ac:dyDescent="0.3">
      <c r="L149" s="110"/>
    </row>
    <row r="150" spans="12:12" ht="15.75" customHeight="1" x14ac:dyDescent="0.3">
      <c r="L150" s="110"/>
    </row>
    <row r="151" spans="12:12" ht="15.75" customHeight="1" x14ac:dyDescent="0.3">
      <c r="L151" s="110"/>
    </row>
    <row r="152" spans="12:12" ht="15.75" customHeight="1" x14ac:dyDescent="0.3">
      <c r="L152" s="110"/>
    </row>
    <row r="153" spans="12:12" ht="15.75" customHeight="1" x14ac:dyDescent="0.3">
      <c r="L153" s="110"/>
    </row>
    <row r="154" spans="12:12" ht="15.75" customHeight="1" x14ac:dyDescent="0.3">
      <c r="L154" s="110"/>
    </row>
    <row r="155" spans="12:12" ht="15.75" customHeight="1" x14ac:dyDescent="0.3">
      <c r="L155" s="110"/>
    </row>
    <row r="156" spans="12:12" ht="15.75" customHeight="1" x14ac:dyDescent="0.3">
      <c r="L156" s="110"/>
    </row>
    <row r="157" spans="12:12" ht="15.75" customHeight="1" x14ac:dyDescent="0.3">
      <c r="L157" s="110"/>
    </row>
    <row r="158" spans="12:12" ht="15.75" customHeight="1" x14ac:dyDescent="0.3">
      <c r="L158" s="110"/>
    </row>
    <row r="159" spans="12:12" ht="15.75" customHeight="1" x14ac:dyDescent="0.3">
      <c r="L159" s="110"/>
    </row>
    <row r="160" spans="12:12" ht="15.75" customHeight="1" x14ac:dyDescent="0.3">
      <c r="L160" s="110"/>
    </row>
    <row r="161" spans="12:12" ht="15.75" customHeight="1" x14ac:dyDescent="0.3">
      <c r="L161" s="110"/>
    </row>
    <row r="162" spans="12:12" ht="15.75" customHeight="1" x14ac:dyDescent="0.3">
      <c r="L162" s="110"/>
    </row>
    <row r="163" spans="12:12" ht="15.75" customHeight="1" x14ac:dyDescent="0.3">
      <c r="L163" s="110"/>
    </row>
    <row r="164" spans="12:12" ht="15.75" customHeight="1" x14ac:dyDescent="0.3">
      <c r="L164" s="110"/>
    </row>
    <row r="165" spans="12:12" ht="15.75" customHeight="1" x14ac:dyDescent="0.3">
      <c r="L165" s="110"/>
    </row>
    <row r="166" spans="12:12" ht="15.75" customHeight="1" x14ac:dyDescent="0.3">
      <c r="L166" s="110"/>
    </row>
    <row r="167" spans="12:12" ht="15.75" customHeight="1" x14ac:dyDescent="0.3">
      <c r="L167" s="110"/>
    </row>
    <row r="168" spans="12:12" ht="15.75" customHeight="1" x14ac:dyDescent="0.3">
      <c r="L168" s="110"/>
    </row>
    <row r="169" spans="12:12" ht="15.75" customHeight="1" x14ac:dyDescent="0.3">
      <c r="L169" s="110"/>
    </row>
    <row r="170" spans="12:12" ht="15.75" customHeight="1" x14ac:dyDescent="0.3">
      <c r="L170" s="110"/>
    </row>
    <row r="171" spans="12:12" ht="15.75" customHeight="1" x14ac:dyDescent="0.3">
      <c r="L171" s="110"/>
    </row>
    <row r="172" spans="12:12" ht="15.75" customHeight="1" x14ac:dyDescent="0.3">
      <c r="L172" s="110"/>
    </row>
    <row r="173" spans="12:12" ht="15.75" customHeight="1" x14ac:dyDescent="0.3">
      <c r="L173" s="110"/>
    </row>
    <row r="174" spans="12:12" ht="15.75" customHeight="1" x14ac:dyDescent="0.3">
      <c r="L174" s="110"/>
    </row>
    <row r="175" spans="12:12" ht="15.75" customHeight="1" x14ac:dyDescent="0.3">
      <c r="L175" s="110"/>
    </row>
    <row r="176" spans="12:12" ht="15.75" customHeight="1" x14ac:dyDescent="0.3">
      <c r="L176" s="110"/>
    </row>
    <row r="177" spans="12:12" ht="15.75" customHeight="1" x14ac:dyDescent="0.3">
      <c r="L177" s="110"/>
    </row>
    <row r="178" spans="12:12" ht="15.75" customHeight="1" x14ac:dyDescent="0.3">
      <c r="L178" s="110"/>
    </row>
    <row r="179" spans="12:12" ht="15.75" customHeight="1" x14ac:dyDescent="0.3">
      <c r="L179" s="110"/>
    </row>
    <row r="180" spans="12:12" ht="15.75" customHeight="1" x14ac:dyDescent="0.3">
      <c r="L180" s="110"/>
    </row>
    <row r="181" spans="12:12" ht="15.75" customHeight="1" x14ac:dyDescent="0.3">
      <c r="L181" s="110"/>
    </row>
    <row r="182" spans="12:12" ht="15.75" customHeight="1" x14ac:dyDescent="0.3">
      <c r="L182" s="110"/>
    </row>
    <row r="183" spans="12:12" ht="15.75" customHeight="1" x14ac:dyDescent="0.3">
      <c r="L183" s="110"/>
    </row>
    <row r="184" spans="12:12" ht="15.75" customHeight="1" x14ac:dyDescent="0.3">
      <c r="L184" s="110"/>
    </row>
    <row r="185" spans="12:12" ht="15.75" customHeight="1" x14ac:dyDescent="0.3">
      <c r="L185" s="110"/>
    </row>
    <row r="186" spans="12:12" ht="15.75" customHeight="1" x14ac:dyDescent="0.3">
      <c r="L186" s="110"/>
    </row>
    <row r="187" spans="12:12" ht="15.75" customHeight="1" x14ac:dyDescent="0.3">
      <c r="L187" s="110"/>
    </row>
    <row r="188" spans="12:12" ht="15.75" customHeight="1" x14ac:dyDescent="0.3">
      <c r="L188" s="110"/>
    </row>
    <row r="189" spans="12:12" ht="15.75" customHeight="1" x14ac:dyDescent="0.3">
      <c r="L189" s="110"/>
    </row>
    <row r="190" spans="12:12" ht="15.75" customHeight="1" x14ac:dyDescent="0.3">
      <c r="L190" s="110"/>
    </row>
    <row r="191" spans="12:12" ht="15.75" customHeight="1" x14ac:dyDescent="0.3">
      <c r="L191" s="110"/>
    </row>
    <row r="192" spans="12:12" ht="15.75" customHeight="1" x14ac:dyDescent="0.3">
      <c r="L192" s="110"/>
    </row>
    <row r="193" spans="12:12" ht="15.75" customHeight="1" x14ac:dyDescent="0.3">
      <c r="L193" s="110"/>
    </row>
    <row r="194" spans="12:12" ht="15.75" customHeight="1" x14ac:dyDescent="0.3">
      <c r="L194" s="110"/>
    </row>
    <row r="195" spans="12:12" ht="15.75" customHeight="1" x14ac:dyDescent="0.3">
      <c r="L195" s="110"/>
    </row>
    <row r="196" spans="12:12" ht="15.75" customHeight="1" x14ac:dyDescent="0.3">
      <c r="L196" s="110"/>
    </row>
    <row r="197" spans="12:12" ht="15.75" customHeight="1" x14ac:dyDescent="0.3">
      <c r="L197" s="110"/>
    </row>
    <row r="198" spans="12:12" ht="15.75" customHeight="1" x14ac:dyDescent="0.3">
      <c r="L198" s="110"/>
    </row>
    <row r="199" spans="12:12" ht="15.75" customHeight="1" x14ac:dyDescent="0.3">
      <c r="L199" s="110"/>
    </row>
    <row r="200" spans="12:12" ht="15.75" customHeight="1" x14ac:dyDescent="0.3">
      <c r="L200" s="110"/>
    </row>
    <row r="201" spans="12:12" ht="15.75" customHeight="1" x14ac:dyDescent="0.3">
      <c r="L201" s="110"/>
    </row>
    <row r="202" spans="12:12" ht="15.75" customHeight="1" x14ac:dyDescent="0.3">
      <c r="L202" s="110"/>
    </row>
    <row r="203" spans="12:12" ht="15.75" customHeight="1" x14ac:dyDescent="0.3">
      <c r="L203" s="110"/>
    </row>
    <row r="204" spans="12:12" ht="15.75" customHeight="1" x14ac:dyDescent="0.3">
      <c r="L204" s="110"/>
    </row>
    <row r="205" spans="12:12" ht="15.75" customHeight="1" x14ac:dyDescent="0.3">
      <c r="L205" s="110"/>
    </row>
    <row r="206" spans="12:12" ht="15.75" customHeight="1" x14ac:dyDescent="0.3">
      <c r="L206" s="110"/>
    </row>
    <row r="207" spans="12:12" ht="15.75" customHeight="1" x14ac:dyDescent="0.3">
      <c r="L207" s="110"/>
    </row>
    <row r="208" spans="12:12" ht="15.75" customHeight="1" x14ac:dyDescent="0.3">
      <c r="L208" s="110"/>
    </row>
    <row r="209" spans="12:12" ht="15.75" customHeight="1" x14ac:dyDescent="0.3">
      <c r="L209" s="110"/>
    </row>
    <row r="210" spans="12:12" ht="15.75" customHeight="1" x14ac:dyDescent="0.3">
      <c r="L210" s="110"/>
    </row>
    <row r="211" spans="12:12" ht="15.75" customHeight="1" x14ac:dyDescent="0.3">
      <c r="L211" s="110"/>
    </row>
    <row r="212" spans="12:12" ht="15.75" customHeight="1" x14ac:dyDescent="0.3">
      <c r="L212" s="110"/>
    </row>
    <row r="213" spans="12:12" ht="15.75" customHeight="1" x14ac:dyDescent="0.3">
      <c r="L213" s="110"/>
    </row>
    <row r="214" spans="12:12" ht="15.75" customHeight="1" x14ac:dyDescent="0.3">
      <c r="L214" s="110"/>
    </row>
    <row r="215" spans="12:12" ht="15.75" customHeight="1" x14ac:dyDescent="0.3">
      <c r="L215" s="110"/>
    </row>
    <row r="216" spans="12:12" ht="15.75" customHeight="1" x14ac:dyDescent="0.3">
      <c r="L216" s="110"/>
    </row>
    <row r="217" spans="12:12" ht="15.75" customHeight="1" x14ac:dyDescent="0.3">
      <c r="L217" s="110"/>
    </row>
    <row r="218" spans="12:12" ht="15.75" customHeight="1" x14ac:dyDescent="0.3">
      <c r="L218" s="110"/>
    </row>
    <row r="219" spans="12:12" ht="15.75" customHeight="1" x14ac:dyDescent="0.3">
      <c r="L219" s="110"/>
    </row>
    <row r="220" spans="12:12" ht="15.75" customHeight="1" x14ac:dyDescent="0.3">
      <c r="L220" s="110"/>
    </row>
    <row r="221" spans="12:12" ht="15.75" customHeight="1" x14ac:dyDescent="0.3">
      <c r="L221" s="110"/>
    </row>
    <row r="222" spans="12:12" ht="15.75" customHeight="1" x14ac:dyDescent="0.3">
      <c r="L222" s="110"/>
    </row>
    <row r="223" spans="12:12" ht="15.75" customHeight="1" x14ac:dyDescent="0.3">
      <c r="L223" s="110"/>
    </row>
    <row r="224" spans="12:1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3">
    <mergeCell ref="B2:F2"/>
    <mergeCell ref="B3:F3"/>
    <mergeCell ref="B4:F4"/>
  </mergeCells>
  <dataValidations count="1">
    <dataValidation type="list" allowBlank="1" showErrorMessage="1" sqref="G9:G16" xr:uid="{00000000-0002-0000-0400-000000000000}">
      <formula1>$P$2:$P$5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1"/>
  <sheetViews>
    <sheetView topLeftCell="D8" workbookViewId="0">
      <selection activeCell="K10" sqref="K10"/>
    </sheetView>
  </sheetViews>
  <sheetFormatPr defaultColWidth="12.6640625" defaultRowHeight="15" customHeight="1" x14ac:dyDescent="0.2"/>
  <cols>
    <col min="1" max="1" width="21.6640625" customWidth="1"/>
    <col min="2" max="2" width="20.77734375" customWidth="1"/>
    <col min="3" max="4" width="25.6640625" customWidth="1"/>
    <col min="5" max="5" width="28.6640625" customWidth="1"/>
    <col min="6" max="6" width="24.44140625" customWidth="1"/>
    <col min="7" max="7" width="9.44140625" customWidth="1"/>
    <col min="8" max="8" width="11.109375" customWidth="1"/>
    <col min="9" max="9" width="9.6640625" customWidth="1"/>
    <col min="10" max="10" width="9.109375" customWidth="1"/>
    <col min="11" max="12" width="8.44140625" customWidth="1"/>
    <col min="13" max="13" width="20.88671875" customWidth="1"/>
  </cols>
  <sheetData>
    <row r="1" spans="1:27" ht="13.8" x14ac:dyDescent="0.25">
      <c r="A1" s="7"/>
      <c r="B1" s="7"/>
      <c r="C1" s="7"/>
      <c r="D1" s="114"/>
      <c r="E1" s="7"/>
      <c r="F1" s="7"/>
      <c r="G1" s="7"/>
      <c r="H1" s="88"/>
      <c r="I1" s="88"/>
      <c r="J1" s="88"/>
      <c r="K1" s="88"/>
      <c r="L1" s="89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 spans="1:27" ht="13.8" x14ac:dyDescent="0.25">
      <c r="A2" s="90" t="s">
        <v>41</v>
      </c>
      <c r="B2" s="141" t="s">
        <v>74</v>
      </c>
      <c r="C2" s="142"/>
      <c r="D2" s="142"/>
      <c r="E2" s="142"/>
      <c r="F2" s="143"/>
      <c r="G2" s="91"/>
      <c r="H2" s="88"/>
      <c r="I2" s="88"/>
      <c r="J2" s="88"/>
      <c r="K2" s="88"/>
      <c r="L2" s="89"/>
      <c r="M2" s="92" t="s">
        <v>24</v>
      </c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3.8" x14ac:dyDescent="0.25">
      <c r="A3" s="93" t="s">
        <v>42</v>
      </c>
      <c r="B3" s="144"/>
      <c r="C3" s="118"/>
      <c r="D3" s="138"/>
      <c r="E3" s="118"/>
      <c r="F3" s="119"/>
      <c r="G3" s="94"/>
      <c r="H3" s="88"/>
      <c r="I3" s="88"/>
      <c r="J3" s="88"/>
      <c r="K3" s="88"/>
      <c r="L3" s="89"/>
      <c r="M3" s="92" t="s">
        <v>25</v>
      </c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3.8" x14ac:dyDescent="0.25">
      <c r="A4" s="93" t="s">
        <v>43</v>
      </c>
      <c r="B4" s="144"/>
      <c r="C4" s="118"/>
      <c r="D4" s="138"/>
      <c r="E4" s="118"/>
      <c r="F4" s="119"/>
      <c r="G4" s="94"/>
      <c r="H4" s="88"/>
      <c r="I4" s="88"/>
      <c r="J4" s="88"/>
      <c r="K4" s="88"/>
      <c r="L4" s="89"/>
      <c r="M4" s="92" t="s">
        <v>44</v>
      </c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spans="1:27" ht="39.6" x14ac:dyDescent="0.25">
      <c r="A5" s="95" t="s">
        <v>28</v>
      </c>
      <c r="B5" s="96" t="s">
        <v>24</v>
      </c>
      <c r="C5" s="96" t="s">
        <v>25</v>
      </c>
      <c r="D5" s="96"/>
      <c r="E5" s="96" t="s">
        <v>26</v>
      </c>
      <c r="F5" s="96" t="s">
        <v>18</v>
      </c>
      <c r="G5" s="97" t="s">
        <v>45</v>
      </c>
      <c r="H5" s="88"/>
      <c r="I5" s="88"/>
      <c r="J5" s="88"/>
      <c r="K5" s="88"/>
      <c r="L5" s="89"/>
      <c r="M5" s="92" t="s">
        <v>18</v>
      </c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spans="1:27" ht="14.4" x14ac:dyDescent="0.3">
      <c r="A6" s="98">
        <f>AVERAGE(L:L)</f>
        <v>1</v>
      </c>
      <c r="B6" s="99">
        <f>COUNTIF(G10:G992,"Pass")</f>
        <v>6</v>
      </c>
      <c r="C6" s="99">
        <f>COUNTIF(G10:G992,"Fail")</f>
        <v>0</v>
      </c>
      <c r="D6" s="99"/>
      <c r="E6" s="99">
        <f>G6-F6-C6-B6</f>
        <v>0</v>
      </c>
      <c r="F6" s="99">
        <f>COUNTIF(G10:G992,"N/A")</f>
        <v>0</v>
      </c>
      <c r="G6" s="100">
        <f>COUNTA(A10:A992)</f>
        <v>6</v>
      </c>
      <c r="H6" s="88"/>
      <c r="I6" s="88"/>
      <c r="J6" s="88"/>
      <c r="K6" s="88"/>
      <c r="L6" s="89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 spans="1:27" ht="13.8" x14ac:dyDescent="0.25">
      <c r="A7" s="101"/>
      <c r="B7" s="101"/>
      <c r="C7" s="101"/>
      <c r="D7" s="115"/>
      <c r="E7" s="101"/>
      <c r="F7" s="101"/>
      <c r="G7" s="53"/>
      <c r="H7" s="88"/>
      <c r="I7" s="88"/>
      <c r="J7" s="88"/>
      <c r="K7" s="88"/>
      <c r="L7" s="89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</row>
    <row r="8" spans="1:27" ht="6.75" customHeight="1" x14ac:dyDescent="0.25">
      <c r="H8" s="88"/>
      <c r="I8" s="88"/>
      <c r="J8" s="88"/>
      <c r="K8" s="88"/>
      <c r="L8" s="89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</row>
    <row r="9" spans="1:27" ht="26.4" x14ac:dyDescent="0.2">
      <c r="A9" s="102" t="s">
        <v>46</v>
      </c>
      <c r="B9" s="102" t="s">
        <v>47</v>
      </c>
      <c r="C9" s="102" t="s">
        <v>48</v>
      </c>
      <c r="D9" s="102" t="s">
        <v>108</v>
      </c>
      <c r="E9" s="102" t="s">
        <v>49</v>
      </c>
      <c r="F9" s="102" t="s">
        <v>109</v>
      </c>
      <c r="G9" s="102" t="s">
        <v>51</v>
      </c>
      <c r="H9" s="102" t="s">
        <v>52</v>
      </c>
      <c r="I9" s="102" t="s">
        <v>53</v>
      </c>
      <c r="J9" s="103" t="s">
        <v>54</v>
      </c>
      <c r="K9" s="104" t="s">
        <v>55</v>
      </c>
      <c r="L9" s="105" t="s">
        <v>56</v>
      </c>
      <c r="M9" s="102" t="s">
        <v>57</v>
      </c>
    </row>
    <row r="10" spans="1:27" ht="52.8" x14ac:dyDescent="0.2">
      <c r="A10" s="106" t="str">
        <f t="shared" ref="A10:A15" si="0">IF(OR(B10&lt;&gt;"",E10&lt;&gt;""),"["&amp;TEXT($B$2,"##")&amp;"-"&amp;TEXT(ROW()-9,"##")&amp;"]","")</f>
        <v>[LAB5_BAI3-1]</v>
      </c>
      <c r="B10" s="107" t="s">
        <v>139</v>
      </c>
      <c r="C10" s="106" t="s">
        <v>141</v>
      </c>
      <c r="D10" s="106" t="s">
        <v>140</v>
      </c>
      <c r="E10" s="107" t="s">
        <v>142</v>
      </c>
      <c r="F10" s="107" t="s">
        <v>143</v>
      </c>
      <c r="G10" s="107" t="s">
        <v>24</v>
      </c>
      <c r="H10" s="10" t="s">
        <v>71</v>
      </c>
      <c r="I10" s="107" t="s">
        <v>70</v>
      </c>
      <c r="J10" s="107">
        <v>15</v>
      </c>
      <c r="K10" s="107">
        <v>15</v>
      </c>
      <c r="L10" s="109">
        <f t="shared" ref="L10:L15" si="1">K10/J10</f>
        <v>1</v>
      </c>
      <c r="M10" s="107" t="s">
        <v>144</v>
      </c>
    </row>
    <row r="11" spans="1:27" ht="52.8" x14ac:dyDescent="0.2">
      <c r="A11" s="106" t="str">
        <f t="shared" si="0"/>
        <v>[LAB5_BAI3-2]</v>
      </c>
      <c r="B11" s="107" t="s">
        <v>145</v>
      </c>
      <c r="C11" s="106" t="s">
        <v>147</v>
      </c>
      <c r="D11" s="106" t="s">
        <v>146</v>
      </c>
      <c r="E11" s="107" t="s">
        <v>148</v>
      </c>
      <c r="F11" s="107"/>
      <c r="G11" s="107" t="s">
        <v>24</v>
      </c>
      <c r="H11" s="10" t="s">
        <v>71</v>
      </c>
      <c r="I11" s="107" t="s">
        <v>70</v>
      </c>
      <c r="J11" s="107">
        <v>15</v>
      </c>
      <c r="K11" s="107">
        <v>15</v>
      </c>
      <c r="L11" s="109">
        <f t="shared" si="1"/>
        <v>1</v>
      </c>
      <c r="M11" s="107"/>
    </row>
    <row r="12" spans="1:27" ht="66" x14ac:dyDescent="0.2">
      <c r="A12" s="106" t="str">
        <f t="shared" si="0"/>
        <v>[LAB5_BAI3-3]</v>
      </c>
      <c r="B12" s="107" t="s">
        <v>149</v>
      </c>
      <c r="C12" s="106" t="s">
        <v>151</v>
      </c>
      <c r="D12" s="106" t="s">
        <v>150</v>
      </c>
      <c r="E12" s="107" t="s">
        <v>152</v>
      </c>
      <c r="F12" s="107"/>
      <c r="G12" s="107" t="s">
        <v>24</v>
      </c>
      <c r="H12" s="10" t="s">
        <v>71</v>
      </c>
      <c r="I12" s="107" t="s">
        <v>70</v>
      </c>
      <c r="J12" s="107">
        <v>15</v>
      </c>
      <c r="K12" s="107">
        <v>15</v>
      </c>
      <c r="L12" s="109">
        <f t="shared" si="1"/>
        <v>1</v>
      </c>
      <c r="M12" s="107"/>
    </row>
    <row r="13" spans="1:27" ht="52.8" x14ac:dyDescent="0.2">
      <c r="A13" s="106" t="str">
        <f t="shared" si="0"/>
        <v>[LAB5_BAI3-4]</v>
      </c>
      <c r="B13" s="107" t="s">
        <v>153</v>
      </c>
      <c r="C13" s="106" t="s">
        <v>155</v>
      </c>
      <c r="D13" s="106" t="s">
        <v>154</v>
      </c>
      <c r="E13" s="107" t="s">
        <v>156</v>
      </c>
      <c r="F13" s="107"/>
      <c r="G13" s="107" t="s">
        <v>24</v>
      </c>
      <c r="H13" s="10" t="s">
        <v>71</v>
      </c>
      <c r="I13" s="107" t="s">
        <v>70</v>
      </c>
      <c r="J13" s="107">
        <v>15</v>
      </c>
      <c r="K13" s="107">
        <v>15</v>
      </c>
      <c r="L13" s="109">
        <f t="shared" si="1"/>
        <v>1</v>
      </c>
      <c r="M13" s="107"/>
    </row>
    <row r="14" spans="1:27" ht="39.6" x14ac:dyDescent="0.2">
      <c r="A14" s="106" t="str">
        <f t="shared" si="0"/>
        <v>[LAB5_BAI3-5]</v>
      </c>
      <c r="B14" s="107" t="s">
        <v>157</v>
      </c>
      <c r="C14" s="106" t="s">
        <v>159</v>
      </c>
      <c r="D14" s="106" t="s">
        <v>158</v>
      </c>
      <c r="E14" s="107" t="s">
        <v>160</v>
      </c>
      <c r="F14" s="107"/>
      <c r="G14" s="107" t="s">
        <v>24</v>
      </c>
      <c r="H14" s="10" t="s">
        <v>71</v>
      </c>
      <c r="I14" s="107" t="s">
        <v>70</v>
      </c>
      <c r="J14" s="107">
        <v>15</v>
      </c>
      <c r="K14" s="107">
        <v>15</v>
      </c>
      <c r="L14" s="109">
        <f t="shared" si="1"/>
        <v>1</v>
      </c>
      <c r="M14" s="107"/>
    </row>
    <row r="15" spans="1:27" ht="52.8" x14ac:dyDescent="0.2">
      <c r="A15" s="106" t="str">
        <f t="shared" si="0"/>
        <v>[LAB5_BAI3-6]</v>
      </c>
      <c r="B15" s="107" t="s">
        <v>161</v>
      </c>
      <c r="C15" s="106" t="s">
        <v>163</v>
      </c>
      <c r="D15" s="106" t="s">
        <v>162</v>
      </c>
      <c r="E15" s="107" t="s">
        <v>164</v>
      </c>
      <c r="F15" s="107"/>
      <c r="G15" s="107" t="s">
        <v>24</v>
      </c>
      <c r="H15" s="10" t="s">
        <v>71</v>
      </c>
      <c r="I15" s="107" t="s">
        <v>70</v>
      </c>
      <c r="J15" s="107">
        <v>15</v>
      </c>
      <c r="K15" s="107">
        <v>15</v>
      </c>
      <c r="L15" s="109">
        <f t="shared" si="1"/>
        <v>1</v>
      </c>
      <c r="M15" s="107"/>
    </row>
    <row r="16" spans="1:27" ht="14.4" x14ac:dyDescent="0.3">
      <c r="L16" s="110"/>
    </row>
    <row r="17" spans="5:12" ht="14.4" x14ac:dyDescent="0.3">
      <c r="L17" s="110"/>
    </row>
    <row r="18" spans="5:12" ht="14.4" x14ac:dyDescent="0.3">
      <c r="E18" s="111"/>
      <c r="L18" s="110"/>
    </row>
    <row r="19" spans="5:12" ht="14.4" x14ac:dyDescent="0.3">
      <c r="L19" s="110"/>
    </row>
    <row r="20" spans="5:12" ht="14.4" x14ac:dyDescent="0.3">
      <c r="L20" s="110"/>
    </row>
    <row r="21" spans="5:12" ht="14.4" x14ac:dyDescent="0.3">
      <c r="L21" s="110"/>
    </row>
    <row r="22" spans="5:12" ht="15.75" customHeight="1" x14ac:dyDescent="0.3">
      <c r="L22" s="110"/>
    </row>
    <row r="23" spans="5:12" ht="15.75" customHeight="1" x14ac:dyDescent="0.3">
      <c r="L23" s="110"/>
    </row>
    <row r="24" spans="5:12" ht="15.75" customHeight="1" x14ac:dyDescent="0.3">
      <c r="L24" s="110"/>
    </row>
    <row r="25" spans="5:12" ht="15.75" customHeight="1" x14ac:dyDescent="0.3">
      <c r="L25" s="110"/>
    </row>
    <row r="26" spans="5:12" ht="15.75" customHeight="1" x14ac:dyDescent="0.3">
      <c r="L26" s="110"/>
    </row>
    <row r="27" spans="5:12" ht="15.75" customHeight="1" x14ac:dyDescent="0.3">
      <c r="L27" s="110"/>
    </row>
    <row r="28" spans="5:12" ht="15.75" customHeight="1" x14ac:dyDescent="0.3">
      <c r="L28" s="110"/>
    </row>
    <row r="29" spans="5:12" ht="15.75" customHeight="1" x14ac:dyDescent="0.3">
      <c r="L29" s="110"/>
    </row>
    <row r="30" spans="5:12" ht="15.75" customHeight="1" x14ac:dyDescent="0.3">
      <c r="L30" s="110"/>
    </row>
    <row r="31" spans="5:12" ht="15.75" customHeight="1" x14ac:dyDescent="0.3">
      <c r="L31" s="110"/>
    </row>
    <row r="32" spans="5:12" ht="15.75" customHeight="1" x14ac:dyDescent="0.3">
      <c r="L32" s="110"/>
    </row>
    <row r="33" spans="12:12" ht="15.75" customHeight="1" x14ac:dyDescent="0.3">
      <c r="L33" s="110"/>
    </row>
    <row r="34" spans="12:12" ht="15.75" customHeight="1" x14ac:dyDescent="0.3">
      <c r="L34" s="110"/>
    </row>
    <row r="35" spans="12:12" ht="15.75" customHeight="1" x14ac:dyDescent="0.3">
      <c r="L35" s="110"/>
    </row>
    <row r="36" spans="12:12" ht="15.75" customHeight="1" x14ac:dyDescent="0.3">
      <c r="L36" s="110"/>
    </row>
    <row r="37" spans="12:12" ht="15.75" customHeight="1" x14ac:dyDescent="0.3">
      <c r="L37" s="110"/>
    </row>
    <row r="38" spans="12:12" ht="15.75" customHeight="1" x14ac:dyDescent="0.3">
      <c r="L38" s="110"/>
    </row>
    <row r="39" spans="12:12" ht="15.75" customHeight="1" x14ac:dyDescent="0.3">
      <c r="L39" s="110"/>
    </row>
    <row r="40" spans="12:12" ht="15.75" customHeight="1" x14ac:dyDescent="0.3">
      <c r="L40" s="110"/>
    </row>
    <row r="41" spans="12:12" ht="15.75" customHeight="1" x14ac:dyDescent="0.3">
      <c r="L41" s="110"/>
    </row>
    <row r="42" spans="12:12" ht="15.75" customHeight="1" x14ac:dyDescent="0.3">
      <c r="L42" s="110"/>
    </row>
    <row r="43" spans="12:12" ht="15.75" customHeight="1" x14ac:dyDescent="0.3">
      <c r="L43" s="110"/>
    </row>
    <row r="44" spans="12:12" ht="15.75" customHeight="1" x14ac:dyDescent="0.3">
      <c r="L44" s="110"/>
    </row>
    <row r="45" spans="12:12" ht="15.75" customHeight="1" x14ac:dyDescent="0.3">
      <c r="L45" s="110"/>
    </row>
    <row r="46" spans="12:12" ht="15.75" customHeight="1" x14ac:dyDescent="0.3">
      <c r="L46" s="110"/>
    </row>
    <row r="47" spans="12:12" ht="15.75" customHeight="1" x14ac:dyDescent="0.3">
      <c r="L47" s="110"/>
    </row>
    <row r="48" spans="12:12" ht="15.75" customHeight="1" x14ac:dyDescent="0.3">
      <c r="L48" s="110"/>
    </row>
    <row r="49" spans="12:12" ht="15.75" customHeight="1" x14ac:dyDescent="0.3">
      <c r="L49" s="110"/>
    </row>
    <row r="50" spans="12:12" ht="15.75" customHeight="1" x14ac:dyDescent="0.3">
      <c r="L50" s="110"/>
    </row>
    <row r="51" spans="12:12" ht="15.75" customHeight="1" x14ac:dyDescent="0.3">
      <c r="L51" s="110"/>
    </row>
    <row r="52" spans="12:12" ht="15.75" customHeight="1" x14ac:dyDescent="0.3">
      <c r="L52" s="110"/>
    </row>
    <row r="53" spans="12:12" ht="15.75" customHeight="1" x14ac:dyDescent="0.3">
      <c r="L53" s="110"/>
    </row>
    <row r="54" spans="12:12" ht="15.75" customHeight="1" x14ac:dyDescent="0.3">
      <c r="L54" s="110"/>
    </row>
    <row r="55" spans="12:12" ht="15.75" customHeight="1" x14ac:dyDescent="0.3">
      <c r="L55" s="110"/>
    </row>
    <row r="56" spans="12:12" ht="15.75" customHeight="1" x14ac:dyDescent="0.3">
      <c r="L56" s="110"/>
    </row>
    <row r="57" spans="12:12" ht="15.75" customHeight="1" x14ac:dyDescent="0.3">
      <c r="L57" s="110"/>
    </row>
    <row r="58" spans="12:12" ht="15.75" customHeight="1" x14ac:dyDescent="0.3">
      <c r="L58" s="110"/>
    </row>
    <row r="59" spans="12:12" ht="15.75" customHeight="1" x14ac:dyDescent="0.3">
      <c r="L59" s="110"/>
    </row>
    <row r="60" spans="12:12" ht="15.75" customHeight="1" x14ac:dyDescent="0.3">
      <c r="L60" s="110"/>
    </row>
    <row r="61" spans="12:12" ht="15.75" customHeight="1" x14ac:dyDescent="0.3">
      <c r="L61" s="110"/>
    </row>
    <row r="62" spans="12:12" ht="15.75" customHeight="1" x14ac:dyDescent="0.3">
      <c r="L62" s="110"/>
    </row>
    <row r="63" spans="12:12" ht="15.75" customHeight="1" x14ac:dyDescent="0.3">
      <c r="L63" s="110"/>
    </row>
    <row r="64" spans="12:12" ht="15.75" customHeight="1" x14ac:dyDescent="0.3">
      <c r="L64" s="110"/>
    </row>
    <row r="65" spans="12:12" ht="15.75" customHeight="1" x14ac:dyDescent="0.3">
      <c r="L65" s="110"/>
    </row>
    <row r="66" spans="12:12" ht="15.75" customHeight="1" x14ac:dyDescent="0.3">
      <c r="L66" s="110"/>
    </row>
    <row r="67" spans="12:12" ht="15.75" customHeight="1" x14ac:dyDescent="0.3">
      <c r="L67" s="110"/>
    </row>
    <row r="68" spans="12:12" ht="15.75" customHeight="1" x14ac:dyDescent="0.3">
      <c r="L68" s="110"/>
    </row>
    <row r="69" spans="12:12" ht="15.75" customHeight="1" x14ac:dyDescent="0.3">
      <c r="L69" s="110"/>
    </row>
    <row r="70" spans="12:12" ht="15.75" customHeight="1" x14ac:dyDescent="0.3">
      <c r="L70" s="110"/>
    </row>
    <row r="71" spans="12:12" ht="15.75" customHeight="1" x14ac:dyDescent="0.3">
      <c r="L71" s="110"/>
    </row>
    <row r="72" spans="12:12" ht="15.75" customHeight="1" x14ac:dyDescent="0.3">
      <c r="L72" s="110"/>
    </row>
    <row r="73" spans="12:12" ht="15.75" customHeight="1" x14ac:dyDescent="0.3">
      <c r="L73" s="110"/>
    </row>
    <row r="74" spans="12:12" ht="15.75" customHeight="1" x14ac:dyDescent="0.3">
      <c r="L74" s="110"/>
    </row>
    <row r="75" spans="12:12" ht="15.75" customHeight="1" x14ac:dyDescent="0.3">
      <c r="L75" s="110"/>
    </row>
    <row r="76" spans="12:12" ht="15.75" customHeight="1" x14ac:dyDescent="0.3">
      <c r="L76" s="110"/>
    </row>
    <row r="77" spans="12:12" ht="15.75" customHeight="1" x14ac:dyDescent="0.3">
      <c r="L77" s="110"/>
    </row>
    <row r="78" spans="12:12" ht="15.75" customHeight="1" x14ac:dyDescent="0.3">
      <c r="L78" s="110"/>
    </row>
    <row r="79" spans="12:12" ht="15.75" customHeight="1" x14ac:dyDescent="0.3">
      <c r="L79" s="110"/>
    </row>
    <row r="80" spans="12:12" ht="15.75" customHeight="1" x14ac:dyDescent="0.3">
      <c r="L80" s="110"/>
    </row>
    <row r="81" spans="12:12" ht="15.75" customHeight="1" x14ac:dyDescent="0.3">
      <c r="L81" s="110"/>
    </row>
    <row r="82" spans="12:12" ht="15.75" customHeight="1" x14ac:dyDescent="0.3">
      <c r="L82" s="110"/>
    </row>
    <row r="83" spans="12:12" ht="15.75" customHeight="1" x14ac:dyDescent="0.3">
      <c r="L83" s="110"/>
    </row>
    <row r="84" spans="12:12" ht="15.75" customHeight="1" x14ac:dyDescent="0.3">
      <c r="L84" s="110"/>
    </row>
    <row r="85" spans="12:12" ht="15.75" customHeight="1" x14ac:dyDescent="0.3">
      <c r="L85" s="110"/>
    </row>
    <row r="86" spans="12:12" ht="15.75" customHeight="1" x14ac:dyDescent="0.3">
      <c r="L86" s="110"/>
    </row>
    <row r="87" spans="12:12" ht="15.75" customHeight="1" x14ac:dyDescent="0.3">
      <c r="L87" s="110"/>
    </row>
    <row r="88" spans="12:12" ht="15.75" customHeight="1" x14ac:dyDescent="0.3">
      <c r="L88" s="110"/>
    </row>
    <row r="89" spans="12:12" ht="15.75" customHeight="1" x14ac:dyDescent="0.3">
      <c r="L89" s="110"/>
    </row>
    <row r="90" spans="12:12" ht="15.75" customHeight="1" x14ac:dyDescent="0.3">
      <c r="L90" s="110"/>
    </row>
    <row r="91" spans="12:12" ht="15.75" customHeight="1" x14ac:dyDescent="0.3">
      <c r="L91" s="110"/>
    </row>
    <row r="92" spans="12:12" ht="15.75" customHeight="1" x14ac:dyDescent="0.3">
      <c r="L92" s="110"/>
    </row>
    <row r="93" spans="12:12" ht="15.75" customHeight="1" x14ac:dyDescent="0.3">
      <c r="L93" s="110"/>
    </row>
    <row r="94" spans="12:12" ht="15.75" customHeight="1" x14ac:dyDescent="0.3">
      <c r="L94" s="110"/>
    </row>
    <row r="95" spans="12:12" ht="15.75" customHeight="1" x14ac:dyDescent="0.3">
      <c r="L95" s="110"/>
    </row>
    <row r="96" spans="12:12" ht="15.75" customHeight="1" x14ac:dyDescent="0.3">
      <c r="L96" s="110"/>
    </row>
    <row r="97" spans="12:12" ht="15.75" customHeight="1" x14ac:dyDescent="0.3">
      <c r="L97" s="110"/>
    </row>
    <row r="98" spans="12:12" ht="15.75" customHeight="1" x14ac:dyDescent="0.3">
      <c r="L98" s="110"/>
    </row>
    <row r="99" spans="12:12" ht="15.75" customHeight="1" x14ac:dyDescent="0.3">
      <c r="L99" s="110"/>
    </row>
    <row r="100" spans="12:12" ht="15.75" customHeight="1" x14ac:dyDescent="0.3">
      <c r="L100" s="110"/>
    </row>
    <row r="101" spans="12:12" ht="15.75" customHeight="1" x14ac:dyDescent="0.3">
      <c r="L101" s="110"/>
    </row>
    <row r="102" spans="12:12" ht="15.75" customHeight="1" x14ac:dyDescent="0.3">
      <c r="L102" s="110"/>
    </row>
    <row r="103" spans="12:12" ht="15.75" customHeight="1" x14ac:dyDescent="0.3">
      <c r="L103" s="110"/>
    </row>
    <row r="104" spans="12:12" ht="15.75" customHeight="1" x14ac:dyDescent="0.3">
      <c r="L104" s="110"/>
    </row>
    <row r="105" spans="12:12" ht="15.75" customHeight="1" x14ac:dyDescent="0.3">
      <c r="L105" s="110"/>
    </row>
    <row r="106" spans="12:12" ht="15.75" customHeight="1" x14ac:dyDescent="0.3">
      <c r="L106" s="110"/>
    </row>
    <row r="107" spans="12:12" ht="15.75" customHeight="1" x14ac:dyDescent="0.3">
      <c r="L107" s="110"/>
    </row>
    <row r="108" spans="12:12" ht="15.75" customHeight="1" x14ac:dyDescent="0.3">
      <c r="L108" s="110"/>
    </row>
    <row r="109" spans="12:12" ht="15.75" customHeight="1" x14ac:dyDescent="0.3">
      <c r="L109" s="110"/>
    </row>
    <row r="110" spans="12:12" ht="15.75" customHeight="1" x14ac:dyDescent="0.3">
      <c r="L110" s="110"/>
    </row>
    <row r="111" spans="12:12" ht="15.75" customHeight="1" x14ac:dyDescent="0.3">
      <c r="L111" s="110"/>
    </row>
    <row r="112" spans="12:12" ht="15.75" customHeight="1" x14ac:dyDescent="0.3">
      <c r="L112" s="110"/>
    </row>
    <row r="113" spans="12:12" ht="15.75" customHeight="1" x14ac:dyDescent="0.3">
      <c r="L113" s="110"/>
    </row>
    <row r="114" spans="12:12" ht="15.75" customHeight="1" x14ac:dyDescent="0.3">
      <c r="L114" s="110"/>
    </row>
    <row r="115" spans="12:12" ht="15.75" customHeight="1" x14ac:dyDescent="0.3">
      <c r="L115" s="110"/>
    </row>
    <row r="116" spans="12:12" ht="15.75" customHeight="1" x14ac:dyDescent="0.3">
      <c r="L116" s="110"/>
    </row>
    <row r="117" spans="12:12" ht="15.75" customHeight="1" x14ac:dyDescent="0.3">
      <c r="L117" s="110"/>
    </row>
    <row r="118" spans="12:12" ht="15.75" customHeight="1" x14ac:dyDescent="0.3">
      <c r="L118" s="110"/>
    </row>
    <row r="119" spans="12:12" ht="15.75" customHeight="1" x14ac:dyDescent="0.3">
      <c r="L119" s="110"/>
    </row>
    <row r="120" spans="12:12" ht="15.75" customHeight="1" x14ac:dyDescent="0.3">
      <c r="L120" s="110"/>
    </row>
    <row r="121" spans="12:12" ht="15.75" customHeight="1" x14ac:dyDescent="0.3">
      <c r="L121" s="110"/>
    </row>
    <row r="122" spans="12:12" ht="15.75" customHeight="1" x14ac:dyDescent="0.3">
      <c r="L122" s="110"/>
    </row>
    <row r="123" spans="12:12" ht="15.75" customHeight="1" x14ac:dyDescent="0.3">
      <c r="L123" s="110"/>
    </row>
    <row r="124" spans="12:12" ht="15.75" customHeight="1" x14ac:dyDescent="0.3">
      <c r="L124" s="110"/>
    </row>
    <row r="125" spans="12:12" ht="15.75" customHeight="1" x14ac:dyDescent="0.3">
      <c r="L125" s="110"/>
    </row>
    <row r="126" spans="12:12" ht="15.75" customHeight="1" x14ac:dyDescent="0.3">
      <c r="L126" s="110"/>
    </row>
    <row r="127" spans="12:12" ht="15.75" customHeight="1" x14ac:dyDescent="0.3">
      <c r="L127" s="110"/>
    </row>
    <row r="128" spans="12:12" ht="15.75" customHeight="1" x14ac:dyDescent="0.3">
      <c r="L128" s="110"/>
    </row>
    <row r="129" spans="12:12" ht="15.75" customHeight="1" x14ac:dyDescent="0.3">
      <c r="L129" s="110"/>
    </row>
    <row r="130" spans="12:12" ht="15.75" customHeight="1" x14ac:dyDescent="0.3">
      <c r="L130" s="110"/>
    </row>
    <row r="131" spans="12:12" ht="15.75" customHeight="1" x14ac:dyDescent="0.3">
      <c r="L131" s="110"/>
    </row>
    <row r="132" spans="12:12" ht="15.75" customHeight="1" x14ac:dyDescent="0.3">
      <c r="L132" s="110"/>
    </row>
    <row r="133" spans="12:12" ht="15.75" customHeight="1" x14ac:dyDescent="0.3">
      <c r="L133" s="110"/>
    </row>
    <row r="134" spans="12:12" ht="15.75" customHeight="1" x14ac:dyDescent="0.3">
      <c r="L134" s="110"/>
    </row>
    <row r="135" spans="12:12" ht="15.75" customHeight="1" x14ac:dyDescent="0.3">
      <c r="L135" s="110"/>
    </row>
    <row r="136" spans="12:12" ht="15.75" customHeight="1" x14ac:dyDescent="0.3">
      <c r="L136" s="110"/>
    </row>
    <row r="137" spans="12:12" ht="15.75" customHeight="1" x14ac:dyDescent="0.3">
      <c r="L137" s="110"/>
    </row>
    <row r="138" spans="12:12" ht="15.75" customHeight="1" x14ac:dyDescent="0.3">
      <c r="L138" s="110"/>
    </row>
    <row r="139" spans="12:12" ht="15.75" customHeight="1" x14ac:dyDescent="0.3">
      <c r="L139" s="110"/>
    </row>
    <row r="140" spans="12:12" ht="15.75" customHeight="1" x14ac:dyDescent="0.3">
      <c r="L140" s="110"/>
    </row>
    <row r="141" spans="12:12" ht="15.75" customHeight="1" x14ac:dyDescent="0.3">
      <c r="L141" s="110"/>
    </row>
    <row r="142" spans="12:12" ht="15.75" customHeight="1" x14ac:dyDescent="0.3">
      <c r="L142" s="110"/>
    </row>
    <row r="143" spans="12:12" ht="15.75" customHeight="1" x14ac:dyDescent="0.3">
      <c r="L143" s="110"/>
    </row>
    <row r="144" spans="12:12" ht="15.75" customHeight="1" x14ac:dyDescent="0.3">
      <c r="L144" s="110"/>
    </row>
    <row r="145" spans="12:12" ht="15.75" customHeight="1" x14ac:dyDescent="0.3">
      <c r="L145" s="110"/>
    </row>
    <row r="146" spans="12:12" ht="15.75" customHeight="1" x14ac:dyDescent="0.3">
      <c r="L146" s="110"/>
    </row>
    <row r="147" spans="12:12" ht="15.75" customHeight="1" x14ac:dyDescent="0.3">
      <c r="L147" s="110"/>
    </row>
    <row r="148" spans="12:12" ht="15.75" customHeight="1" x14ac:dyDescent="0.3">
      <c r="L148" s="110"/>
    </row>
    <row r="149" spans="12:12" ht="15.75" customHeight="1" x14ac:dyDescent="0.3">
      <c r="L149" s="110"/>
    </row>
    <row r="150" spans="12:12" ht="15.75" customHeight="1" x14ac:dyDescent="0.3">
      <c r="L150" s="110"/>
    </row>
    <row r="151" spans="12:12" ht="15.75" customHeight="1" x14ac:dyDescent="0.3">
      <c r="L151" s="110"/>
    </row>
    <row r="152" spans="12:12" ht="15.75" customHeight="1" x14ac:dyDescent="0.3">
      <c r="L152" s="110"/>
    </row>
    <row r="153" spans="12:12" ht="15.75" customHeight="1" x14ac:dyDescent="0.3">
      <c r="L153" s="110"/>
    </row>
    <row r="154" spans="12:12" ht="15.75" customHeight="1" x14ac:dyDescent="0.3">
      <c r="L154" s="110"/>
    </row>
    <row r="155" spans="12:12" ht="15.75" customHeight="1" x14ac:dyDescent="0.3">
      <c r="L155" s="110"/>
    </row>
    <row r="156" spans="12:12" ht="15.75" customHeight="1" x14ac:dyDescent="0.3">
      <c r="L156" s="110"/>
    </row>
    <row r="157" spans="12:12" ht="15.75" customHeight="1" x14ac:dyDescent="0.3">
      <c r="L157" s="110"/>
    </row>
    <row r="158" spans="12:12" ht="15.75" customHeight="1" x14ac:dyDescent="0.3">
      <c r="L158" s="110"/>
    </row>
    <row r="159" spans="12:12" ht="15.75" customHeight="1" x14ac:dyDescent="0.3">
      <c r="L159" s="110"/>
    </row>
    <row r="160" spans="12:12" ht="15.75" customHeight="1" x14ac:dyDescent="0.3">
      <c r="L160" s="110"/>
    </row>
    <row r="161" spans="12:12" ht="15.75" customHeight="1" x14ac:dyDescent="0.3">
      <c r="L161" s="110"/>
    </row>
    <row r="162" spans="12:12" ht="15.75" customHeight="1" x14ac:dyDescent="0.3">
      <c r="L162" s="110"/>
    </row>
    <row r="163" spans="12:12" ht="15.75" customHeight="1" x14ac:dyDescent="0.3">
      <c r="L163" s="110"/>
    </row>
    <row r="164" spans="12:12" ht="15.75" customHeight="1" x14ac:dyDescent="0.3">
      <c r="L164" s="110"/>
    </row>
    <row r="165" spans="12:12" ht="15.75" customHeight="1" x14ac:dyDescent="0.3">
      <c r="L165" s="110"/>
    </row>
    <row r="166" spans="12:12" ht="15.75" customHeight="1" x14ac:dyDescent="0.3">
      <c r="L166" s="110"/>
    </row>
    <row r="167" spans="12:12" ht="15.75" customHeight="1" x14ac:dyDescent="0.3">
      <c r="L167" s="110"/>
    </row>
    <row r="168" spans="12:12" ht="15.75" customHeight="1" x14ac:dyDescent="0.3">
      <c r="L168" s="110"/>
    </row>
    <row r="169" spans="12:12" ht="15.75" customHeight="1" x14ac:dyDescent="0.3">
      <c r="L169" s="110"/>
    </row>
    <row r="170" spans="12:12" ht="15.75" customHeight="1" x14ac:dyDescent="0.3">
      <c r="L170" s="110"/>
    </row>
    <row r="171" spans="12:12" ht="15.75" customHeight="1" x14ac:dyDescent="0.3">
      <c r="L171" s="110"/>
    </row>
    <row r="172" spans="12:12" ht="15.75" customHeight="1" x14ac:dyDescent="0.3">
      <c r="L172" s="110"/>
    </row>
    <row r="173" spans="12:12" ht="15.75" customHeight="1" x14ac:dyDescent="0.3">
      <c r="L173" s="110"/>
    </row>
    <row r="174" spans="12:12" ht="15.75" customHeight="1" x14ac:dyDescent="0.3">
      <c r="L174" s="110"/>
    </row>
    <row r="175" spans="12:12" ht="15.75" customHeight="1" x14ac:dyDescent="0.3">
      <c r="L175" s="110"/>
    </row>
    <row r="176" spans="12:12" ht="15.75" customHeight="1" x14ac:dyDescent="0.3">
      <c r="L176" s="110"/>
    </row>
    <row r="177" spans="12:12" ht="15.75" customHeight="1" x14ac:dyDescent="0.3">
      <c r="L177" s="110"/>
    </row>
    <row r="178" spans="12:12" ht="15.75" customHeight="1" x14ac:dyDescent="0.3">
      <c r="L178" s="110"/>
    </row>
    <row r="179" spans="12:12" ht="15.75" customHeight="1" x14ac:dyDescent="0.3">
      <c r="L179" s="110"/>
    </row>
    <row r="180" spans="12:12" ht="15.75" customHeight="1" x14ac:dyDescent="0.3">
      <c r="L180" s="110"/>
    </row>
    <row r="181" spans="12:12" ht="15.75" customHeight="1" x14ac:dyDescent="0.3">
      <c r="L181" s="110"/>
    </row>
    <row r="182" spans="12:12" ht="15.75" customHeight="1" x14ac:dyDescent="0.3">
      <c r="L182" s="110"/>
    </row>
    <row r="183" spans="12:12" ht="15.75" customHeight="1" x14ac:dyDescent="0.3">
      <c r="L183" s="110"/>
    </row>
    <row r="184" spans="12:12" ht="15.75" customHeight="1" x14ac:dyDescent="0.3">
      <c r="L184" s="110"/>
    </row>
    <row r="185" spans="12:12" ht="15.75" customHeight="1" x14ac:dyDescent="0.3">
      <c r="L185" s="110"/>
    </row>
    <row r="186" spans="12:12" ht="15.75" customHeight="1" x14ac:dyDescent="0.3">
      <c r="L186" s="110"/>
    </row>
    <row r="187" spans="12:12" ht="15.75" customHeight="1" x14ac:dyDescent="0.3">
      <c r="L187" s="110"/>
    </row>
    <row r="188" spans="12:12" ht="15.75" customHeight="1" x14ac:dyDescent="0.3">
      <c r="L188" s="110"/>
    </row>
    <row r="189" spans="12:12" ht="15.75" customHeight="1" x14ac:dyDescent="0.3">
      <c r="L189" s="110"/>
    </row>
    <row r="190" spans="12:12" ht="15.75" customHeight="1" x14ac:dyDescent="0.3">
      <c r="L190" s="110"/>
    </row>
    <row r="191" spans="12:12" ht="15.75" customHeight="1" x14ac:dyDescent="0.3">
      <c r="L191" s="110"/>
    </row>
    <row r="192" spans="12:12" ht="15.75" customHeight="1" x14ac:dyDescent="0.3">
      <c r="L192" s="110"/>
    </row>
    <row r="193" spans="12:12" ht="15.75" customHeight="1" x14ac:dyDescent="0.3">
      <c r="L193" s="110"/>
    </row>
    <row r="194" spans="12:12" ht="15.75" customHeight="1" x14ac:dyDescent="0.3">
      <c r="L194" s="110"/>
    </row>
    <row r="195" spans="12:12" ht="15.75" customHeight="1" x14ac:dyDescent="0.3">
      <c r="L195" s="110"/>
    </row>
    <row r="196" spans="12:12" ht="15.75" customHeight="1" x14ac:dyDescent="0.3">
      <c r="L196" s="110"/>
    </row>
    <row r="197" spans="12:12" ht="15.75" customHeight="1" x14ac:dyDescent="0.3">
      <c r="L197" s="110"/>
    </row>
    <row r="198" spans="12:12" ht="15.75" customHeight="1" x14ac:dyDescent="0.3">
      <c r="L198" s="110"/>
    </row>
    <row r="199" spans="12:12" ht="15.75" customHeight="1" x14ac:dyDescent="0.3">
      <c r="L199" s="110"/>
    </row>
    <row r="200" spans="12:12" ht="15.75" customHeight="1" x14ac:dyDescent="0.3">
      <c r="L200" s="110"/>
    </row>
    <row r="201" spans="12:12" ht="15.75" customHeight="1" x14ac:dyDescent="0.3">
      <c r="L201" s="110"/>
    </row>
    <row r="202" spans="12:12" ht="15.75" customHeight="1" x14ac:dyDescent="0.3">
      <c r="L202" s="110"/>
    </row>
    <row r="203" spans="12:12" ht="15.75" customHeight="1" x14ac:dyDescent="0.3">
      <c r="L203" s="110"/>
    </row>
    <row r="204" spans="12:12" ht="15.75" customHeight="1" x14ac:dyDescent="0.3">
      <c r="L204" s="110"/>
    </row>
    <row r="205" spans="12:12" ht="15.75" customHeight="1" x14ac:dyDescent="0.3">
      <c r="L205" s="110"/>
    </row>
    <row r="206" spans="12:12" ht="15.75" customHeight="1" x14ac:dyDescent="0.3">
      <c r="L206" s="110"/>
    </row>
    <row r="207" spans="12:12" ht="15.75" customHeight="1" x14ac:dyDescent="0.3">
      <c r="L207" s="110"/>
    </row>
    <row r="208" spans="12:12" ht="15.75" customHeight="1" x14ac:dyDescent="0.3">
      <c r="L208" s="110"/>
    </row>
    <row r="209" spans="12:12" ht="15.75" customHeight="1" x14ac:dyDescent="0.3">
      <c r="L209" s="110"/>
    </row>
    <row r="210" spans="12:12" ht="15.75" customHeight="1" x14ac:dyDescent="0.3">
      <c r="L210" s="110"/>
    </row>
    <row r="211" spans="12:12" ht="15.75" customHeight="1" x14ac:dyDescent="0.3">
      <c r="L211" s="110"/>
    </row>
    <row r="212" spans="12:12" ht="15.75" customHeight="1" x14ac:dyDescent="0.3">
      <c r="L212" s="110"/>
    </row>
    <row r="213" spans="12:12" ht="15.75" customHeight="1" x14ac:dyDescent="0.3">
      <c r="L213" s="110"/>
    </row>
    <row r="214" spans="12:12" ht="15.75" customHeight="1" x14ac:dyDescent="0.3">
      <c r="L214" s="110"/>
    </row>
    <row r="215" spans="12:12" ht="15.75" customHeight="1" x14ac:dyDescent="0.3">
      <c r="L215" s="110"/>
    </row>
    <row r="216" spans="12:12" ht="15.75" customHeight="1" x14ac:dyDescent="0.3">
      <c r="L216" s="110"/>
    </row>
    <row r="217" spans="12:12" ht="15.75" customHeight="1" x14ac:dyDescent="0.3">
      <c r="L217" s="110"/>
    </row>
    <row r="218" spans="12:12" ht="15.75" customHeight="1" x14ac:dyDescent="0.3">
      <c r="L218" s="110"/>
    </row>
    <row r="219" spans="12:12" ht="15.75" customHeight="1" x14ac:dyDescent="0.3">
      <c r="L219" s="110"/>
    </row>
    <row r="220" spans="12:12" ht="15.75" customHeight="1" x14ac:dyDescent="0.3">
      <c r="L220" s="110"/>
    </row>
    <row r="221" spans="12:12" ht="15.75" customHeight="1" x14ac:dyDescent="0.3">
      <c r="L221" s="110"/>
    </row>
    <row r="222" spans="12:12" ht="15.75" customHeight="1" x14ac:dyDescent="0.2"/>
    <row r="223" spans="12:12" ht="15.75" customHeight="1" x14ac:dyDescent="0.2"/>
    <row r="224" spans="12:1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3">
    <mergeCell ref="B2:F2"/>
    <mergeCell ref="B3:F3"/>
    <mergeCell ref="B4:F4"/>
  </mergeCells>
  <dataValidations count="1">
    <dataValidation type="list" allowBlank="1" showErrorMessage="1" sqref="G9:G15" xr:uid="{00000000-0002-0000-0500-000000000000}">
      <formula1>$P$2:$P$5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D15" sqref="D15"/>
    </sheetView>
  </sheetViews>
  <sheetFormatPr defaultColWidth="12.6640625" defaultRowHeight="15" customHeight="1" x14ac:dyDescent="0.2"/>
  <cols>
    <col min="1" max="1" width="21.6640625" customWidth="1"/>
    <col min="2" max="2" width="20.77734375" customWidth="1"/>
    <col min="3" max="3" width="25.6640625" customWidth="1"/>
    <col min="4" max="4" width="27.109375" customWidth="1"/>
    <col min="5" max="5" width="24.44140625" customWidth="1"/>
    <col min="6" max="6" width="9.44140625" customWidth="1"/>
    <col min="7" max="7" width="11.109375" customWidth="1"/>
    <col min="8" max="8" width="9.6640625" customWidth="1"/>
    <col min="9" max="9" width="9.109375" customWidth="1"/>
    <col min="10" max="11" width="8.44140625" customWidth="1"/>
    <col min="12" max="12" width="20.88671875" customWidth="1"/>
  </cols>
  <sheetData>
    <row r="1" spans="1:26" ht="13.8" x14ac:dyDescent="0.25">
      <c r="A1" s="7"/>
      <c r="B1" s="7"/>
      <c r="C1" s="7"/>
      <c r="D1" s="7"/>
      <c r="E1" s="7"/>
      <c r="F1" s="7"/>
      <c r="G1" s="88"/>
      <c r="H1" s="88"/>
      <c r="I1" s="88"/>
      <c r="J1" s="88"/>
      <c r="K1" s="89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3.8" x14ac:dyDescent="0.25">
      <c r="A2" s="90" t="s">
        <v>41</v>
      </c>
      <c r="B2" s="141" t="s">
        <v>75</v>
      </c>
      <c r="C2" s="142"/>
      <c r="D2" s="142"/>
      <c r="E2" s="143"/>
      <c r="F2" s="91"/>
      <c r="G2" s="88"/>
      <c r="H2" s="88"/>
      <c r="I2" s="88"/>
      <c r="J2" s="88"/>
      <c r="K2" s="89"/>
      <c r="L2" s="92" t="s">
        <v>24</v>
      </c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3.8" x14ac:dyDescent="0.25">
      <c r="A3" s="93" t="s">
        <v>42</v>
      </c>
      <c r="B3" s="144"/>
      <c r="C3" s="118"/>
      <c r="D3" s="118"/>
      <c r="E3" s="119"/>
      <c r="F3" s="94"/>
      <c r="G3" s="88"/>
      <c r="H3" s="88"/>
      <c r="I3" s="88"/>
      <c r="J3" s="88"/>
      <c r="K3" s="89"/>
      <c r="L3" s="92" t="s">
        <v>25</v>
      </c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3.8" x14ac:dyDescent="0.25">
      <c r="A4" s="93" t="s">
        <v>43</v>
      </c>
      <c r="B4" s="144"/>
      <c r="C4" s="118"/>
      <c r="D4" s="118"/>
      <c r="E4" s="119"/>
      <c r="F4" s="94"/>
      <c r="G4" s="88"/>
      <c r="H4" s="88"/>
      <c r="I4" s="88"/>
      <c r="J4" s="88"/>
      <c r="K4" s="89"/>
      <c r="L4" s="92" t="s">
        <v>44</v>
      </c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39.6" x14ac:dyDescent="0.25">
      <c r="A5" s="95" t="s">
        <v>28</v>
      </c>
      <c r="B5" s="96" t="s">
        <v>24</v>
      </c>
      <c r="C5" s="96" t="s">
        <v>25</v>
      </c>
      <c r="D5" s="96" t="s">
        <v>26</v>
      </c>
      <c r="E5" s="96" t="s">
        <v>18</v>
      </c>
      <c r="F5" s="97" t="s">
        <v>45</v>
      </c>
      <c r="G5" s="88"/>
      <c r="H5" s="88"/>
      <c r="I5" s="88"/>
      <c r="J5" s="88"/>
      <c r="K5" s="89"/>
      <c r="L5" s="92" t="s">
        <v>18</v>
      </c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14.4" x14ac:dyDescent="0.3">
      <c r="A6" s="98">
        <f>AVERAGE(K:K)</f>
        <v>0.9</v>
      </c>
      <c r="B6" s="99">
        <f>COUNTIF(F10:F991,"Pass")</f>
        <v>1</v>
      </c>
      <c r="C6" s="99">
        <f>COUNTIF(F10:F991,"Fail")</f>
        <v>0</v>
      </c>
      <c r="D6" s="99">
        <f>F6-E6-C6-B6</f>
        <v>0</v>
      </c>
      <c r="E6" s="99">
        <f>COUNTIF(F10:F991,"N/A")</f>
        <v>0</v>
      </c>
      <c r="F6" s="100">
        <f>COUNTA(A10:A991)</f>
        <v>1</v>
      </c>
      <c r="G6" s="88"/>
      <c r="H6" s="88"/>
      <c r="I6" s="88"/>
      <c r="J6" s="88"/>
      <c r="K6" s="89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3.8" x14ac:dyDescent="0.25">
      <c r="A7" s="101"/>
      <c r="B7" s="101"/>
      <c r="C7" s="101"/>
      <c r="D7" s="101"/>
      <c r="E7" s="101"/>
      <c r="F7" s="53"/>
      <c r="G7" s="88"/>
      <c r="H7" s="88"/>
      <c r="I7" s="88"/>
      <c r="J7" s="88"/>
      <c r="K7" s="89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6.75" customHeight="1" x14ac:dyDescent="0.25">
      <c r="G8" s="88"/>
      <c r="H8" s="88"/>
      <c r="I8" s="88"/>
      <c r="J8" s="88"/>
      <c r="K8" s="89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26.4" x14ac:dyDescent="0.2">
      <c r="A9" s="102" t="s">
        <v>46</v>
      </c>
      <c r="B9" s="102" t="s">
        <v>47</v>
      </c>
      <c r="C9" s="102" t="s">
        <v>48</v>
      </c>
      <c r="D9" s="102" t="s">
        <v>49</v>
      </c>
      <c r="E9" s="102" t="s">
        <v>50</v>
      </c>
      <c r="F9" s="102" t="s">
        <v>51</v>
      </c>
      <c r="G9" s="102" t="s">
        <v>52</v>
      </c>
      <c r="H9" s="102" t="s">
        <v>53</v>
      </c>
      <c r="I9" s="103" t="s">
        <v>54</v>
      </c>
      <c r="J9" s="104" t="s">
        <v>55</v>
      </c>
      <c r="K9" s="105" t="s">
        <v>56</v>
      </c>
      <c r="L9" s="102" t="s">
        <v>57</v>
      </c>
    </row>
    <row r="10" spans="1:26" ht="52.8" x14ac:dyDescent="0.2">
      <c r="A10" s="106" t="str">
        <f>IF(OR(B10&lt;&gt;"",D10&lt;&gt;""),"["&amp;TEXT($B$2,"##")&amp;"-"&amp;TEXT(ROW()-9,"##")&amp;"]","")</f>
        <v>[LAB5_BAI4-1]</v>
      </c>
      <c r="B10" s="107" t="s">
        <v>59</v>
      </c>
      <c r="C10" s="106" t="s">
        <v>60</v>
      </c>
      <c r="D10" s="107" t="s">
        <v>61</v>
      </c>
      <c r="E10" s="107"/>
      <c r="F10" s="107" t="s">
        <v>24</v>
      </c>
      <c r="G10" s="108">
        <v>44672</v>
      </c>
      <c r="H10" s="107" t="s">
        <v>58</v>
      </c>
      <c r="I10" s="107">
        <v>10</v>
      </c>
      <c r="J10" s="107">
        <v>9</v>
      </c>
      <c r="K10" s="109">
        <f>J10/I10</f>
        <v>0.9</v>
      </c>
      <c r="L10" s="107"/>
    </row>
    <row r="11" spans="1:26" ht="14.4" x14ac:dyDescent="0.3">
      <c r="K11" s="110"/>
    </row>
    <row r="12" spans="1:26" ht="14.4" x14ac:dyDescent="0.3">
      <c r="K12" s="110"/>
    </row>
    <row r="13" spans="1:26" ht="14.4" x14ac:dyDescent="0.3">
      <c r="K13" s="110"/>
    </row>
    <row r="14" spans="1:26" ht="14.4" x14ac:dyDescent="0.3">
      <c r="K14" s="110"/>
    </row>
    <row r="15" spans="1:26" ht="14.4" x14ac:dyDescent="0.3">
      <c r="K15" s="110"/>
    </row>
    <row r="16" spans="1:26" ht="14.4" x14ac:dyDescent="0.3">
      <c r="K16" s="110"/>
    </row>
    <row r="17" spans="11:11" ht="14.4" x14ac:dyDescent="0.3">
      <c r="K17" s="110"/>
    </row>
    <row r="18" spans="11:11" ht="14.4" x14ac:dyDescent="0.3">
      <c r="K18" s="110"/>
    </row>
    <row r="19" spans="11:11" ht="14.4" x14ac:dyDescent="0.3">
      <c r="K19" s="110"/>
    </row>
    <row r="20" spans="11:11" ht="15.75" customHeight="1" x14ac:dyDescent="0.3">
      <c r="K20" s="110"/>
    </row>
    <row r="21" spans="11:11" ht="15.75" customHeight="1" x14ac:dyDescent="0.3">
      <c r="K21" s="110"/>
    </row>
    <row r="22" spans="11:11" ht="15.75" customHeight="1" x14ac:dyDescent="0.3">
      <c r="K22" s="110"/>
    </row>
    <row r="23" spans="11:11" ht="15.75" customHeight="1" x14ac:dyDescent="0.3">
      <c r="K23" s="110"/>
    </row>
    <row r="24" spans="11:11" ht="15.75" customHeight="1" x14ac:dyDescent="0.3">
      <c r="K24" s="110"/>
    </row>
    <row r="25" spans="11:11" ht="15.75" customHeight="1" x14ac:dyDescent="0.3">
      <c r="K25" s="110"/>
    </row>
    <row r="26" spans="11:11" ht="15.75" customHeight="1" x14ac:dyDescent="0.3">
      <c r="K26" s="110"/>
    </row>
    <row r="27" spans="11:11" ht="15.75" customHeight="1" x14ac:dyDescent="0.3">
      <c r="K27" s="110"/>
    </row>
    <row r="28" spans="11:11" ht="15.75" customHeight="1" x14ac:dyDescent="0.3">
      <c r="K28" s="110"/>
    </row>
    <row r="29" spans="11:11" ht="15.75" customHeight="1" x14ac:dyDescent="0.3">
      <c r="K29" s="110"/>
    </row>
    <row r="30" spans="11:11" ht="15.75" customHeight="1" x14ac:dyDescent="0.3">
      <c r="K30" s="110"/>
    </row>
    <row r="31" spans="11:11" ht="15.75" customHeight="1" x14ac:dyDescent="0.3">
      <c r="K31" s="110"/>
    </row>
    <row r="32" spans="11:11" ht="15.75" customHeight="1" x14ac:dyDescent="0.3">
      <c r="K32" s="110"/>
    </row>
    <row r="33" spans="11:11" ht="15.75" customHeight="1" x14ac:dyDescent="0.3">
      <c r="K33" s="110"/>
    </row>
    <row r="34" spans="11:11" ht="15.75" customHeight="1" x14ac:dyDescent="0.3">
      <c r="K34" s="110"/>
    </row>
    <row r="35" spans="11:11" ht="15.75" customHeight="1" x14ac:dyDescent="0.3">
      <c r="K35" s="110"/>
    </row>
    <row r="36" spans="11:11" ht="15.75" customHeight="1" x14ac:dyDescent="0.3">
      <c r="K36" s="110"/>
    </row>
    <row r="37" spans="11:11" ht="15.75" customHeight="1" x14ac:dyDescent="0.3">
      <c r="K37" s="110"/>
    </row>
    <row r="38" spans="11:11" ht="15.75" customHeight="1" x14ac:dyDescent="0.3">
      <c r="K38" s="110"/>
    </row>
    <row r="39" spans="11:11" ht="15.75" customHeight="1" x14ac:dyDescent="0.3">
      <c r="K39" s="110"/>
    </row>
    <row r="40" spans="11:11" ht="15.75" customHeight="1" x14ac:dyDescent="0.3">
      <c r="K40" s="110"/>
    </row>
    <row r="41" spans="11:11" ht="15.75" customHeight="1" x14ac:dyDescent="0.3">
      <c r="K41" s="110"/>
    </row>
    <row r="42" spans="11:11" ht="15.75" customHeight="1" x14ac:dyDescent="0.3">
      <c r="K42" s="110"/>
    </row>
    <row r="43" spans="11:11" ht="15.75" customHeight="1" x14ac:dyDescent="0.3">
      <c r="K43" s="110"/>
    </row>
    <row r="44" spans="11:11" ht="15.75" customHeight="1" x14ac:dyDescent="0.3">
      <c r="K44" s="110"/>
    </row>
    <row r="45" spans="11:11" ht="15.75" customHeight="1" x14ac:dyDescent="0.3">
      <c r="K45" s="110"/>
    </row>
    <row r="46" spans="11:11" ht="15.75" customHeight="1" x14ac:dyDescent="0.3">
      <c r="K46" s="110"/>
    </row>
    <row r="47" spans="11:11" ht="15.75" customHeight="1" x14ac:dyDescent="0.3">
      <c r="K47" s="110"/>
    </row>
    <row r="48" spans="11:11" ht="15.75" customHeight="1" x14ac:dyDescent="0.3">
      <c r="K48" s="110"/>
    </row>
    <row r="49" spans="11:11" ht="15.75" customHeight="1" x14ac:dyDescent="0.3">
      <c r="K49" s="110"/>
    </row>
    <row r="50" spans="11:11" ht="15.75" customHeight="1" x14ac:dyDescent="0.3">
      <c r="K50" s="110"/>
    </row>
    <row r="51" spans="11:11" ht="15.75" customHeight="1" x14ac:dyDescent="0.3">
      <c r="K51" s="110"/>
    </row>
    <row r="52" spans="11:11" ht="15.75" customHeight="1" x14ac:dyDescent="0.3">
      <c r="K52" s="110"/>
    </row>
    <row r="53" spans="11:11" ht="15.75" customHeight="1" x14ac:dyDescent="0.3">
      <c r="K53" s="110"/>
    </row>
    <row r="54" spans="11:11" ht="15.75" customHeight="1" x14ac:dyDescent="0.3">
      <c r="K54" s="110"/>
    </row>
    <row r="55" spans="11:11" ht="15.75" customHeight="1" x14ac:dyDescent="0.3">
      <c r="K55" s="110"/>
    </row>
    <row r="56" spans="11:11" ht="15.75" customHeight="1" x14ac:dyDescent="0.3">
      <c r="K56" s="110"/>
    </row>
    <row r="57" spans="11:11" ht="15.75" customHeight="1" x14ac:dyDescent="0.3">
      <c r="K57" s="110"/>
    </row>
    <row r="58" spans="11:11" ht="15.75" customHeight="1" x14ac:dyDescent="0.3">
      <c r="K58" s="110"/>
    </row>
    <row r="59" spans="11:11" ht="15.75" customHeight="1" x14ac:dyDescent="0.3">
      <c r="K59" s="110"/>
    </row>
    <row r="60" spans="11:11" ht="15.75" customHeight="1" x14ac:dyDescent="0.3">
      <c r="K60" s="110"/>
    </row>
    <row r="61" spans="11:11" ht="15.75" customHeight="1" x14ac:dyDescent="0.3">
      <c r="K61" s="110"/>
    </row>
    <row r="62" spans="11:11" ht="15.75" customHeight="1" x14ac:dyDescent="0.3">
      <c r="K62" s="110"/>
    </row>
    <row r="63" spans="11:11" ht="15.75" customHeight="1" x14ac:dyDescent="0.3">
      <c r="K63" s="110"/>
    </row>
    <row r="64" spans="11:11" ht="15.75" customHeight="1" x14ac:dyDescent="0.3">
      <c r="K64" s="110"/>
    </row>
    <row r="65" spans="11:11" ht="15.75" customHeight="1" x14ac:dyDescent="0.3">
      <c r="K65" s="110"/>
    </row>
    <row r="66" spans="11:11" ht="15.75" customHeight="1" x14ac:dyDescent="0.3">
      <c r="K66" s="110"/>
    </row>
    <row r="67" spans="11:11" ht="15.75" customHeight="1" x14ac:dyDescent="0.3">
      <c r="K67" s="110"/>
    </row>
    <row r="68" spans="11:11" ht="15.75" customHeight="1" x14ac:dyDescent="0.3">
      <c r="K68" s="110"/>
    </row>
    <row r="69" spans="11:11" ht="15.75" customHeight="1" x14ac:dyDescent="0.3">
      <c r="K69" s="110"/>
    </row>
    <row r="70" spans="11:11" ht="15.75" customHeight="1" x14ac:dyDescent="0.3">
      <c r="K70" s="110"/>
    </row>
    <row r="71" spans="11:11" ht="15.75" customHeight="1" x14ac:dyDescent="0.3">
      <c r="K71" s="110"/>
    </row>
    <row r="72" spans="11:11" ht="15.75" customHeight="1" x14ac:dyDescent="0.3">
      <c r="K72" s="110"/>
    </row>
    <row r="73" spans="11:11" ht="15.75" customHeight="1" x14ac:dyDescent="0.3">
      <c r="K73" s="110"/>
    </row>
    <row r="74" spans="11:11" ht="15.75" customHeight="1" x14ac:dyDescent="0.3">
      <c r="K74" s="110"/>
    </row>
    <row r="75" spans="11:11" ht="15.75" customHeight="1" x14ac:dyDescent="0.3">
      <c r="K75" s="110"/>
    </row>
    <row r="76" spans="11:11" ht="15.75" customHeight="1" x14ac:dyDescent="0.3">
      <c r="K76" s="110"/>
    </row>
    <row r="77" spans="11:11" ht="15.75" customHeight="1" x14ac:dyDescent="0.3">
      <c r="K77" s="110"/>
    </row>
    <row r="78" spans="11:11" ht="15.75" customHeight="1" x14ac:dyDescent="0.3">
      <c r="K78" s="110"/>
    </row>
    <row r="79" spans="11:11" ht="15.75" customHeight="1" x14ac:dyDescent="0.3">
      <c r="K79" s="110"/>
    </row>
    <row r="80" spans="11:11" ht="15.75" customHeight="1" x14ac:dyDescent="0.3">
      <c r="K80" s="110"/>
    </row>
    <row r="81" spans="11:11" ht="15.75" customHeight="1" x14ac:dyDescent="0.3">
      <c r="K81" s="110"/>
    </row>
    <row r="82" spans="11:11" ht="15.75" customHeight="1" x14ac:dyDescent="0.3">
      <c r="K82" s="110"/>
    </row>
    <row r="83" spans="11:11" ht="15.75" customHeight="1" x14ac:dyDescent="0.3">
      <c r="K83" s="110"/>
    </row>
    <row r="84" spans="11:11" ht="15.75" customHeight="1" x14ac:dyDescent="0.3">
      <c r="K84" s="110"/>
    </row>
    <row r="85" spans="11:11" ht="15.75" customHeight="1" x14ac:dyDescent="0.3">
      <c r="K85" s="110"/>
    </row>
    <row r="86" spans="11:11" ht="15.75" customHeight="1" x14ac:dyDescent="0.3">
      <c r="K86" s="110"/>
    </row>
    <row r="87" spans="11:11" ht="15.75" customHeight="1" x14ac:dyDescent="0.3">
      <c r="K87" s="110"/>
    </row>
    <row r="88" spans="11:11" ht="15.75" customHeight="1" x14ac:dyDescent="0.3">
      <c r="K88" s="110"/>
    </row>
    <row r="89" spans="11:11" ht="15.75" customHeight="1" x14ac:dyDescent="0.3">
      <c r="K89" s="110"/>
    </row>
    <row r="90" spans="11:11" ht="15.75" customHeight="1" x14ac:dyDescent="0.3">
      <c r="K90" s="110"/>
    </row>
    <row r="91" spans="11:11" ht="15.75" customHeight="1" x14ac:dyDescent="0.3">
      <c r="K91" s="110"/>
    </row>
    <row r="92" spans="11:11" ht="15.75" customHeight="1" x14ac:dyDescent="0.3">
      <c r="K92" s="110"/>
    </row>
    <row r="93" spans="11:11" ht="15.75" customHeight="1" x14ac:dyDescent="0.3">
      <c r="K93" s="110"/>
    </row>
    <row r="94" spans="11:11" ht="15.75" customHeight="1" x14ac:dyDescent="0.3">
      <c r="K94" s="110"/>
    </row>
    <row r="95" spans="11:11" ht="15.75" customHeight="1" x14ac:dyDescent="0.3">
      <c r="K95" s="110"/>
    </row>
    <row r="96" spans="11:11" ht="15.75" customHeight="1" x14ac:dyDescent="0.3">
      <c r="K96" s="110"/>
    </row>
    <row r="97" spans="11:11" ht="15.75" customHeight="1" x14ac:dyDescent="0.3">
      <c r="K97" s="110"/>
    </row>
    <row r="98" spans="11:11" ht="15.75" customHeight="1" x14ac:dyDescent="0.3">
      <c r="K98" s="110"/>
    </row>
    <row r="99" spans="11:11" ht="15.75" customHeight="1" x14ac:dyDescent="0.3">
      <c r="K99" s="110"/>
    </row>
    <row r="100" spans="11:11" ht="15.75" customHeight="1" x14ac:dyDescent="0.3">
      <c r="K100" s="110"/>
    </row>
    <row r="101" spans="11:11" ht="15.75" customHeight="1" x14ac:dyDescent="0.3">
      <c r="K101" s="110"/>
    </row>
    <row r="102" spans="11:11" ht="15.75" customHeight="1" x14ac:dyDescent="0.3">
      <c r="K102" s="110"/>
    </row>
    <row r="103" spans="11:11" ht="15.75" customHeight="1" x14ac:dyDescent="0.3">
      <c r="K103" s="110"/>
    </row>
    <row r="104" spans="11:11" ht="15.75" customHeight="1" x14ac:dyDescent="0.3">
      <c r="K104" s="110"/>
    </row>
    <row r="105" spans="11:11" ht="15.75" customHeight="1" x14ac:dyDescent="0.3">
      <c r="K105" s="110"/>
    </row>
    <row r="106" spans="11:11" ht="15.75" customHeight="1" x14ac:dyDescent="0.3">
      <c r="K106" s="110"/>
    </row>
    <row r="107" spans="11:11" ht="15.75" customHeight="1" x14ac:dyDescent="0.3">
      <c r="K107" s="110"/>
    </row>
    <row r="108" spans="11:11" ht="15.75" customHeight="1" x14ac:dyDescent="0.3">
      <c r="K108" s="110"/>
    </row>
    <row r="109" spans="11:11" ht="15.75" customHeight="1" x14ac:dyDescent="0.3">
      <c r="K109" s="110"/>
    </row>
    <row r="110" spans="11:11" ht="15.75" customHeight="1" x14ac:dyDescent="0.3">
      <c r="K110" s="110"/>
    </row>
    <row r="111" spans="11:11" ht="15.75" customHeight="1" x14ac:dyDescent="0.3">
      <c r="K111" s="110"/>
    </row>
    <row r="112" spans="11:11" ht="15.75" customHeight="1" x14ac:dyDescent="0.3">
      <c r="K112" s="110"/>
    </row>
    <row r="113" spans="11:11" ht="15.75" customHeight="1" x14ac:dyDescent="0.3">
      <c r="K113" s="110"/>
    </row>
    <row r="114" spans="11:11" ht="15.75" customHeight="1" x14ac:dyDescent="0.3">
      <c r="K114" s="110"/>
    </row>
    <row r="115" spans="11:11" ht="15.75" customHeight="1" x14ac:dyDescent="0.3">
      <c r="K115" s="110"/>
    </row>
    <row r="116" spans="11:11" ht="15.75" customHeight="1" x14ac:dyDescent="0.3">
      <c r="K116" s="110"/>
    </row>
    <row r="117" spans="11:11" ht="15.75" customHeight="1" x14ac:dyDescent="0.3">
      <c r="K117" s="110"/>
    </row>
    <row r="118" spans="11:11" ht="15.75" customHeight="1" x14ac:dyDescent="0.3">
      <c r="K118" s="110"/>
    </row>
    <row r="119" spans="11:11" ht="15.75" customHeight="1" x14ac:dyDescent="0.3">
      <c r="K119" s="110"/>
    </row>
    <row r="120" spans="11:11" ht="15.75" customHeight="1" x14ac:dyDescent="0.3">
      <c r="K120" s="110"/>
    </row>
    <row r="121" spans="11:11" ht="15.75" customHeight="1" x14ac:dyDescent="0.3">
      <c r="K121" s="110"/>
    </row>
    <row r="122" spans="11:11" ht="15.75" customHeight="1" x14ac:dyDescent="0.3">
      <c r="K122" s="110"/>
    </row>
    <row r="123" spans="11:11" ht="15.75" customHeight="1" x14ac:dyDescent="0.3">
      <c r="K123" s="110"/>
    </row>
    <row r="124" spans="11:11" ht="15.75" customHeight="1" x14ac:dyDescent="0.3">
      <c r="K124" s="110"/>
    </row>
    <row r="125" spans="11:11" ht="15.75" customHeight="1" x14ac:dyDescent="0.3">
      <c r="K125" s="110"/>
    </row>
    <row r="126" spans="11:11" ht="15.75" customHeight="1" x14ac:dyDescent="0.3">
      <c r="K126" s="110"/>
    </row>
    <row r="127" spans="11:11" ht="15.75" customHeight="1" x14ac:dyDescent="0.3">
      <c r="K127" s="110"/>
    </row>
    <row r="128" spans="11:11" ht="15.75" customHeight="1" x14ac:dyDescent="0.3">
      <c r="K128" s="110"/>
    </row>
    <row r="129" spans="11:11" ht="15.75" customHeight="1" x14ac:dyDescent="0.3">
      <c r="K129" s="110"/>
    </row>
    <row r="130" spans="11:11" ht="15.75" customHeight="1" x14ac:dyDescent="0.3">
      <c r="K130" s="110"/>
    </row>
    <row r="131" spans="11:11" ht="15.75" customHeight="1" x14ac:dyDescent="0.3">
      <c r="K131" s="110"/>
    </row>
    <row r="132" spans="11:11" ht="15.75" customHeight="1" x14ac:dyDescent="0.3">
      <c r="K132" s="110"/>
    </row>
    <row r="133" spans="11:11" ht="15.75" customHeight="1" x14ac:dyDescent="0.3">
      <c r="K133" s="110"/>
    </row>
    <row r="134" spans="11:11" ht="15.75" customHeight="1" x14ac:dyDescent="0.3">
      <c r="K134" s="110"/>
    </row>
    <row r="135" spans="11:11" ht="15.75" customHeight="1" x14ac:dyDescent="0.3">
      <c r="K135" s="110"/>
    </row>
    <row r="136" spans="11:11" ht="15.75" customHeight="1" x14ac:dyDescent="0.3">
      <c r="K136" s="110"/>
    </row>
    <row r="137" spans="11:11" ht="15.75" customHeight="1" x14ac:dyDescent="0.3">
      <c r="K137" s="110"/>
    </row>
    <row r="138" spans="11:11" ht="15.75" customHeight="1" x14ac:dyDescent="0.3">
      <c r="K138" s="110"/>
    </row>
    <row r="139" spans="11:11" ht="15.75" customHeight="1" x14ac:dyDescent="0.3">
      <c r="K139" s="110"/>
    </row>
    <row r="140" spans="11:11" ht="15.75" customHeight="1" x14ac:dyDescent="0.3">
      <c r="K140" s="110"/>
    </row>
    <row r="141" spans="11:11" ht="15.75" customHeight="1" x14ac:dyDescent="0.3">
      <c r="K141" s="110"/>
    </row>
    <row r="142" spans="11:11" ht="15.75" customHeight="1" x14ac:dyDescent="0.3">
      <c r="K142" s="110"/>
    </row>
    <row r="143" spans="11:11" ht="15.75" customHeight="1" x14ac:dyDescent="0.3">
      <c r="K143" s="110"/>
    </row>
    <row r="144" spans="11:11" ht="15.75" customHeight="1" x14ac:dyDescent="0.3">
      <c r="K144" s="110"/>
    </row>
    <row r="145" spans="11:11" ht="15.75" customHeight="1" x14ac:dyDescent="0.3">
      <c r="K145" s="110"/>
    </row>
    <row r="146" spans="11:11" ht="15.75" customHeight="1" x14ac:dyDescent="0.3">
      <c r="K146" s="110"/>
    </row>
    <row r="147" spans="11:11" ht="15.75" customHeight="1" x14ac:dyDescent="0.3">
      <c r="K147" s="110"/>
    </row>
    <row r="148" spans="11:11" ht="15.75" customHeight="1" x14ac:dyDescent="0.3">
      <c r="K148" s="110"/>
    </row>
    <row r="149" spans="11:11" ht="15.75" customHeight="1" x14ac:dyDescent="0.3">
      <c r="K149" s="110"/>
    </row>
    <row r="150" spans="11:11" ht="15.75" customHeight="1" x14ac:dyDescent="0.3">
      <c r="K150" s="110"/>
    </row>
    <row r="151" spans="11:11" ht="15.75" customHeight="1" x14ac:dyDescent="0.3">
      <c r="K151" s="110"/>
    </row>
    <row r="152" spans="11:11" ht="15.75" customHeight="1" x14ac:dyDescent="0.3">
      <c r="K152" s="110"/>
    </row>
    <row r="153" spans="11:11" ht="15.75" customHeight="1" x14ac:dyDescent="0.3">
      <c r="K153" s="110"/>
    </row>
    <row r="154" spans="11:11" ht="15.75" customHeight="1" x14ac:dyDescent="0.3">
      <c r="K154" s="110"/>
    </row>
    <row r="155" spans="11:11" ht="15.75" customHeight="1" x14ac:dyDescent="0.3">
      <c r="K155" s="110"/>
    </row>
    <row r="156" spans="11:11" ht="15.75" customHeight="1" x14ac:dyDescent="0.3">
      <c r="K156" s="110"/>
    </row>
    <row r="157" spans="11:11" ht="15.75" customHeight="1" x14ac:dyDescent="0.3">
      <c r="K157" s="110"/>
    </row>
    <row r="158" spans="11:11" ht="15.75" customHeight="1" x14ac:dyDescent="0.3">
      <c r="K158" s="110"/>
    </row>
    <row r="159" spans="11:11" ht="15.75" customHeight="1" x14ac:dyDescent="0.3">
      <c r="K159" s="110"/>
    </row>
    <row r="160" spans="11:11" ht="15.75" customHeight="1" x14ac:dyDescent="0.3">
      <c r="K160" s="110"/>
    </row>
    <row r="161" spans="11:11" ht="15.75" customHeight="1" x14ac:dyDescent="0.3">
      <c r="K161" s="110"/>
    </row>
    <row r="162" spans="11:11" ht="15.75" customHeight="1" x14ac:dyDescent="0.3">
      <c r="K162" s="110"/>
    </row>
    <row r="163" spans="11:11" ht="15.75" customHeight="1" x14ac:dyDescent="0.3">
      <c r="K163" s="110"/>
    </row>
    <row r="164" spans="11:11" ht="15.75" customHeight="1" x14ac:dyDescent="0.3">
      <c r="K164" s="110"/>
    </row>
    <row r="165" spans="11:11" ht="15.75" customHeight="1" x14ac:dyDescent="0.3">
      <c r="K165" s="110"/>
    </row>
    <row r="166" spans="11:11" ht="15.75" customHeight="1" x14ac:dyDescent="0.3">
      <c r="K166" s="110"/>
    </row>
    <row r="167" spans="11:11" ht="15.75" customHeight="1" x14ac:dyDescent="0.3">
      <c r="K167" s="110"/>
    </row>
    <row r="168" spans="11:11" ht="15.75" customHeight="1" x14ac:dyDescent="0.3">
      <c r="K168" s="110"/>
    </row>
    <row r="169" spans="11:11" ht="15.75" customHeight="1" x14ac:dyDescent="0.3">
      <c r="K169" s="110"/>
    </row>
    <row r="170" spans="11:11" ht="15.75" customHeight="1" x14ac:dyDescent="0.3">
      <c r="K170" s="110"/>
    </row>
    <row r="171" spans="11:11" ht="15.75" customHeight="1" x14ac:dyDescent="0.3">
      <c r="K171" s="110"/>
    </row>
    <row r="172" spans="11:11" ht="15.75" customHeight="1" x14ac:dyDescent="0.3">
      <c r="K172" s="110"/>
    </row>
    <row r="173" spans="11:11" ht="15.75" customHeight="1" x14ac:dyDescent="0.3">
      <c r="K173" s="110"/>
    </row>
    <row r="174" spans="11:11" ht="15.75" customHeight="1" x14ac:dyDescent="0.3">
      <c r="K174" s="110"/>
    </row>
    <row r="175" spans="11:11" ht="15.75" customHeight="1" x14ac:dyDescent="0.3">
      <c r="K175" s="110"/>
    </row>
    <row r="176" spans="11:11" ht="15.75" customHeight="1" x14ac:dyDescent="0.3">
      <c r="K176" s="110"/>
    </row>
    <row r="177" spans="11:11" ht="15.75" customHeight="1" x14ac:dyDescent="0.3">
      <c r="K177" s="110"/>
    </row>
    <row r="178" spans="11:11" ht="15.75" customHeight="1" x14ac:dyDescent="0.3">
      <c r="K178" s="110"/>
    </row>
    <row r="179" spans="11:11" ht="15.75" customHeight="1" x14ac:dyDescent="0.3">
      <c r="K179" s="110"/>
    </row>
    <row r="180" spans="11:11" ht="15.75" customHeight="1" x14ac:dyDescent="0.3">
      <c r="K180" s="110"/>
    </row>
    <row r="181" spans="11:11" ht="15.75" customHeight="1" x14ac:dyDescent="0.3">
      <c r="K181" s="110"/>
    </row>
    <row r="182" spans="11:11" ht="15.75" customHeight="1" x14ac:dyDescent="0.3">
      <c r="K182" s="110"/>
    </row>
    <row r="183" spans="11:11" ht="15.75" customHeight="1" x14ac:dyDescent="0.3">
      <c r="K183" s="110"/>
    </row>
    <row r="184" spans="11:11" ht="15.75" customHeight="1" x14ac:dyDescent="0.3">
      <c r="K184" s="110"/>
    </row>
    <row r="185" spans="11:11" ht="15.75" customHeight="1" x14ac:dyDescent="0.3">
      <c r="K185" s="110"/>
    </row>
    <row r="186" spans="11:11" ht="15.75" customHeight="1" x14ac:dyDescent="0.3">
      <c r="K186" s="110"/>
    </row>
    <row r="187" spans="11:11" ht="15.75" customHeight="1" x14ac:dyDescent="0.3">
      <c r="K187" s="110"/>
    </row>
    <row r="188" spans="11:11" ht="15.75" customHeight="1" x14ac:dyDescent="0.3">
      <c r="K188" s="110"/>
    </row>
    <row r="189" spans="11:11" ht="15.75" customHeight="1" x14ac:dyDescent="0.3">
      <c r="K189" s="110"/>
    </row>
    <row r="190" spans="11:11" ht="15.75" customHeight="1" x14ac:dyDescent="0.3">
      <c r="K190" s="110"/>
    </row>
    <row r="191" spans="11:11" ht="15.75" customHeight="1" x14ac:dyDescent="0.3">
      <c r="K191" s="110"/>
    </row>
    <row r="192" spans="11:11" ht="15.75" customHeight="1" x14ac:dyDescent="0.3">
      <c r="K192" s="110"/>
    </row>
    <row r="193" spans="11:11" ht="15.75" customHeight="1" x14ac:dyDescent="0.3">
      <c r="K193" s="110"/>
    </row>
    <row r="194" spans="11:11" ht="15.75" customHeight="1" x14ac:dyDescent="0.3">
      <c r="K194" s="110"/>
    </row>
    <row r="195" spans="11:11" ht="15.75" customHeight="1" x14ac:dyDescent="0.3">
      <c r="K195" s="110"/>
    </row>
    <row r="196" spans="11:11" ht="15.75" customHeight="1" x14ac:dyDescent="0.3">
      <c r="K196" s="110"/>
    </row>
    <row r="197" spans="11:11" ht="15.75" customHeight="1" x14ac:dyDescent="0.3">
      <c r="K197" s="110"/>
    </row>
    <row r="198" spans="11:11" ht="15.75" customHeight="1" x14ac:dyDescent="0.3">
      <c r="K198" s="110"/>
    </row>
    <row r="199" spans="11:11" ht="15.75" customHeight="1" x14ac:dyDescent="0.3">
      <c r="K199" s="110"/>
    </row>
    <row r="200" spans="11:11" ht="15.75" customHeight="1" x14ac:dyDescent="0.3">
      <c r="K200" s="110"/>
    </row>
    <row r="201" spans="11:11" ht="15.75" customHeight="1" x14ac:dyDescent="0.3">
      <c r="K201" s="110"/>
    </row>
    <row r="202" spans="11:11" ht="15.75" customHeight="1" x14ac:dyDescent="0.3">
      <c r="K202" s="110"/>
    </row>
    <row r="203" spans="11:11" ht="15.75" customHeight="1" x14ac:dyDescent="0.3">
      <c r="K203" s="110"/>
    </row>
    <row r="204" spans="11:11" ht="15.75" customHeight="1" x14ac:dyDescent="0.3">
      <c r="K204" s="110"/>
    </row>
    <row r="205" spans="11:11" ht="15.75" customHeight="1" x14ac:dyDescent="0.3">
      <c r="K205" s="110"/>
    </row>
    <row r="206" spans="11:11" ht="15.75" customHeight="1" x14ac:dyDescent="0.3">
      <c r="K206" s="110"/>
    </row>
    <row r="207" spans="11:11" ht="15.75" customHeight="1" x14ac:dyDescent="0.3">
      <c r="K207" s="110"/>
    </row>
    <row r="208" spans="11:11" ht="15.75" customHeight="1" x14ac:dyDescent="0.3">
      <c r="K208" s="110"/>
    </row>
    <row r="209" spans="11:11" ht="15.75" customHeight="1" x14ac:dyDescent="0.3">
      <c r="K209" s="110"/>
    </row>
    <row r="210" spans="11:11" ht="15.75" customHeight="1" x14ac:dyDescent="0.3">
      <c r="K210" s="110"/>
    </row>
    <row r="211" spans="11:11" ht="15.75" customHeight="1" x14ac:dyDescent="0.3">
      <c r="K211" s="110"/>
    </row>
    <row r="212" spans="11:11" ht="15.75" customHeight="1" x14ac:dyDescent="0.3">
      <c r="K212" s="110"/>
    </row>
    <row r="213" spans="11:11" ht="15.75" customHeight="1" x14ac:dyDescent="0.3">
      <c r="K213" s="110"/>
    </row>
    <row r="214" spans="11:11" ht="15.75" customHeight="1" x14ac:dyDescent="0.3">
      <c r="K214" s="110"/>
    </row>
    <row r="215" spans="11:11" ht="15.75" customHeight="1" x14ac:dyDescent="0.3">
      <c r="K215" s="110"/>
    </row>
    <row r="216" spans="11:11" ht="15.75" customHeight="1" x14ac:dyDescent="0.3">
      <c r="K216" s="110"/>
    </row>
    <row r="217" spans="11:11" ht="15.75" customHeight="1" x14ac:dyDescent="0.3">
      <c r="K217" s="110"/>
    </row>
    <row r="218" spans="11:11" ht="15.75" customHeight="1" x14ac:dyDescent="0.3">
      <c r="K218" s="110"/>
    </row>
    <row r="219" spans="11:11" ht="15.75" customHeight="1" x14ac:dyDescent="0.3">
      <c r="K219" s="110"/>
    </row>
    <row r="220" spans="11:11" ht="15.75" customHeight="1" x14ac:dyDescent="0.3">
      <c r="K220" s="110"/>
    </row>
    <row r="221" spans="11:11" ht="15.75" customHeight="1" x14ac:dyDescent="0.2"/>
    <row r="222" spans="11:11" ht="15.75" customHeight="1" x14ac:dyDescent="0.2"/>
    <row r="223" spans="11:11" ht="15.75" customHeight="1" x14ac:dyDescent="0.2"/>
    <row r="224" spans="11:1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2:E2"/>
    <mergeCell ref="B3:E3"/>
    <mergeCell ref="B4:E4"/>
  </mergeCells>
  <dataValidations count="1">
    <dataValidation type="list" allowBlank="1" showErrorMessage="1" sqref="F9:F10" xr:uid="{00000000-0002-0000-0600-000000000000}">
      <formula1>$O$2:$O$5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984"/>
  <sheetViews>
    <sheetView workbookViewId="0"/>
  </sheetViews>
  <sheetFormatPr defaultColWidth="12.6640625" defaultRowHeight="15" customHeight="1" x14ac:dyDescent="0.2"/>
  <cols>
    <col min="1" max="1" width="24.77734375" customWidth="1"/>
    <col min="2" max="2" width="30.33203125" customWidth="1"/>
    <col min="3" max="3" width="33.6640625" customWidth="1"/>
    <col min="4" max="4" width="21.88671875" customWidth="1"/>
    <col min="5" max="5" width="18.109375" customWidth="1"/>
    <col min="6" max="6" width="12.6640625" customWidth="1"/>
  </cols>
  <sheetData>
    <row r="1" spans="1:12" ht="13.8" x14ac:dyDescent="0.25">
      <c r="A1" s="90" t="s">
        <v>41</v>
      </c>
      <c r="B1" s="141" t="s">
        <v>40</v>
      </c>
      <c r="C1" s="142"/>
      <c r="D1" s="142"/>
      <c r="E1" s="143"/>
      <c r="F1" s="91"/>
      <c r="G1" s="88"/>
      <c r="H1" s="88"/>
      <c r="I1" s="88"/>
      <c r="J1" s="88"/>
      <c r="K1" s="89"/>
      <c r="L1" s="92" t="s">
        <v>24</v>
      </c>
    </row>
    <row r="2" spans="1:12" ht="13.8" x14ac:dyDescent="0.25">
      <c r="A2" s="93" t="s">
        <v>42</v>
      </c>
      <c r="B2" s="144"/>
      <c r="C2" s="118"/>
      <c r="D2" s="118"/>
      <c r="E2" s="119"/>
      <c r="F2" s="94"/>
      <c r="G2" s="88"/>
      <c r="H2" s="88"/>
      <c r="I2" s="88"/>
      <c r="J2" s="88"/>
      <c r="K2" s="89"/>
      <c r="L2" s="92" t="s">
        <v>25</v>
      </c>
    </row>
    <row r="3" spans="1:12" ht="13.8" x14ac:dyDescent="0.25">
      <c r="A3" s="93" t="s">
        <v>43</v>
      </c>
      <c r="B3" s="144"/>
      <c r="C3" s="118"/>
      <c r="D3" s="118"/>
      <c r="E3" s="119"/>
      <c r="F3" s="94"/>
      <c r="G3" s="88"/>
      <c r="H3" s="88"/>
      <c r="I3" s="88"/>
      <c r="J3" s="88"/>
      <c r="K3" s="89"/>
      <c r="L3" s="92" t="s">
        <v>44</v>
      </c>
    </row>
    <row r="4" spans="1:12" ht="26.4" x14ac:dyDescent="0.25">
      <c r="A4" s="95" t="s">
        <v>28</v>
      </c>
      <c r="B4" s="96" t="s">
        <v>24</v>
      </c>
      <c r="C4" s="96" t="s">
        <v>25</v>
      </c>
      <c r="D4" s="96" t="s">
        <v>26</v>
      </c>
      <c r="E4" s="96" t="s">
        <v>18</v>
      </c>
      <c r="F4" s="97" t="s">
        <v>45</v>
      </c>
      <c r="G4" s="88"/>
      <c r="H4" s="88"/>
      <c r="I4" s="88"/>
      <c r="J4" s="88"/>
      <c r="K4" s="89"/>
      <c r="L4" s="92" t="s">
        <v>18</v>
      </c>
    </row>
    <row r="5" spans="1:12" ht="14.4" x14ac:dyDescent="0.3">
      <c r="A5" s="98">
        <f>AVERAGE(K:K)</f>
        <v>1</v>
      </c>
      <c r="B5" s="99">
        <f>COUNTIF(F9:F974,"Pass")</f>
        <v>2</v>
      </c>
      <c r="C5" s="99">
        <f>COUNTIF(F9:F974,"Fail")</f>
        <v>0</v>
      </c>
      <c r="D5" s="99">
        <f>F5-E5-C5-B5</f>
        <v>0</v>
      </c>
      <c r="E5" s="99">
        <f>COUNTIF(F9:F974,"N/A")</f>
        <v>0</v>
      </c>
      <c r="F5" s="100">
        <f>COUNTA(A9:A974)</f>
        <v>2</v>
      </c>
      <c r="G5" s="88"/>
      <c r="H5" s="88"/>
      <c r="I5" s="88"/>
      <c r="J5" s="88"/>
      <c r="K5" s="89"/>
      <c r="L5" s="88"/>
    </row>
    <row r="6" spans="1:12" ht="13.8" x14ac:dyDescent="0.25">
      <c r="A6" s="101"/>
      <c r="B6" s="101"/>
      <c r="C6" s="101"/>
      <c r="D6" s="101"/>
      <c r="E6" s="101"/>
      <c r="F6" s="53"/>
      <c r="G6" s="88"/>
      <c r="H6" s="88"/>
      <c r="I6" s="88"/>
      <c r="J6" s="88"/>
      <c r="K6" s="89"/>
      <c r="L6" s="88"/>
    </row>
    <row r="7" spans="1:12" ht="13.8" x14ac:dyDescent="0.25">
      <c r="G7" s="88"/>
      <c r="H7" s="88"/>
      <c r="I7" s="88"/>
      <c r="J7" s="88"/>
      <c r="K7" s="89"/>
      <c r="L7" s="88"/>
    </row>
    <row r="8" spans="1:12" ht="26.4" x14ac:dyDescent="0.2">
      <c r="A8" s="102" t="s">
        <v>46</v>
      </c>
      <c r="B8" s="102" t="s">
        <v>47</v>
      </c>
      <c r="C8" s="102" t="s">
        <v>48</v>
      </c>
      <c r="D8" s="102" t="s">
        <v>49</v>
      </c>
      <c r="E8" s="102" t="s">
        <v>50</v>
      </c>
      <c r="F8" s="102" t="s">
        <v>51</v>
      </c>
      <c r="G8" s="102" t="s">
        <v>52</v>
      </c>
      <c r="H8" s="102" t="s">
        <v>53</v>
      </c>
      <c r="I8" s="103" t="s">
        <v>54</v>
      </c>
      <c r="J8" s="104" t="s">
        <v>55</v>
      </c>
      <c r="K8" s="105" t="s">
        <v>56</v>
      </c>
      <c r="L8" s="102" t="s">
        <v>57</v>
      </c>
    </row>
    <row r="9" spans="1:12" ht="39.75" customHeight="1" x14ac:dyDescent="0.2">
      <c r="A9" s="106" t="str">
        <f t="shared" ref="A9:A10" si="0">IF(OR(B9&lt;&gt;"",D9&lt;&gt;""),"["&amp;TEXT($B$1,"##")&amp;"-"&amp;TEXT(ROW()-9,"##")&amp;"]","")</f>
        <v>[Admin_UserManagement-]</v>
      </c>
      <c r="B9" s="107" t="s">
        <v>62</v>
      </c>
      <c r="C9" s="106" t="s">
        <v>63</v>
      </c>
      <c r="D9" s="107" t="s">
        <v>64</v>
      </c>
      <c r="E9" s="107"/>
      <c r="F9" s="107" t="s">
        <v>24</v>
      </c>
      <c r="G9" s="108">
        <v>44671</v>
      </c>
      <c r="H9" s="107" t="s">
        <v>65</v>
      </c>
      <c r="I9" s="107">
        <v>10</v>
      </c>
      <c r="J9" s="107">
        <v>10</v>
      </c>
      <c r="K9" s="109">
        <f t="shared" ref="K9:K10" si="1">J9/I9</f>
        <v>1</v>
      </c>
      <c r="L9" s="107"/>
    </row>
    <row r="10" spans="1:12" ht="15.75" customHeight="1" x14ac:dyDescent="0.2">
      <c r="A10" s="106" t="str">
        <f t="shared" si="0"/>
        <v>[Admin_UserManagement-1]</v>
      </c>
      <c r="B10" s="107" t="s">
        <v>66</v>
      </c>
      <c r="C10" s="106" t="s">
        <v>67</v>
      </c>
      <c r="D10" s="107" t="s">
        <v>68</v>
      </c>
      <c r="E10" s="107"/>
      <c r="F10" s="107" t="s">
        <v>24</v>
      </c>
      <c r="G10" s="108">
        <v>44672</v>
      </c>
      <c r="H10" s="107" t="s">
        <v>65</v>
      </c>
      <c r="I10" s="107">
        <v>10</v>
      </c>
      <c r="J10" s="107">
        <v>10</v>
      </c>
      <c r="K10" s="109">
        <f t="shared" si="1"/>
        <v>1</v>
      </c>
      <c r="L10" s="107"/>
    </row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mergeCells count="3">
    <mergeCell ref="B1:E1"/>
    <mergeCell ref="B2:E2"/>
    <mergeCell ref="B3:E3"/>
  </mergeCells>
  <dataValidations count="1">
    <dataValidation type="list" allowBlank="1" showErrorMessage="1" sqref="F8:F10" xr:uid="{00000000-0002-0000-0700-000000000000}">
      <formula1>$O$2:$O$5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Report</vt:lpstr>
      <vt:lpstr>Test case List</vt:lpstr>
      <vt:lpstr>LAB5_BAI1</vt:lpstr>
      <vt:lpstr>LAB5_BAI2</vt:lpstr>
      <vt:lpstr>LAB5_BAI3</vt:lpstr>
      <vt:lpstr>LAB5_BAI4</vt:lpstr>
      <vt:lpstr>LAB5_BAI5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Đạt Nguyễn Tiến</cp:lastModifiedBy>
  <dcterms:modified xsi:type="dcterms:W3CDTF">2026-01-27T07:51:35Z</dcterms:modified>
</cp:coreProperties>
</file>